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769469fbbf41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4decad1badc4069"/>
    <x:sheet xmlns:r="http://schemas.openxmlformats.org/officeDocument/2006/relationships" name="Models" sheetId="2" r:id="R574061c06354461e"/>
    <x:sheet xmlns:r="http://schemas.openxmlformats.org/officeDocument/2006/relationships" name="Repos" sheetId="3" r:id="Ra394b9642bf84c42"/>
    <x:sheet xmlns:r="http://schemas.openxmlformats.org/officeDocument/2006/relationships" name="Workspaces" sheetId="4" r:id="Rc8ea843b38074df0"/>
    <x:sheet xmlns:r="http://schemas.openxmlformats.org/officeDocument/2006/relationships" name="DailyData" sheetId="5" r:id="Raa72cf1d14564d30"/>
    <x:sheet xmlns:r="http://schemas.openxmlformats.org/officeDocument/2006/relationships" name="Metadata" sheetId="6" r:id="R241f50ed24e2410e"/>
  </x:sheets>
  <x:calcPr calcId="191029"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#,##0.0&quot;x&quot;"/>
    <x:numFmt numFmtId="202" formatCode="0.0%"/>
    <x:numFmt numFmtId="203" formatCode="#,##0.0"/>
    <x:numFmt numFmtId="204" formatCode="yyyy-mm-dd"/>
  </x:numFmts>
  <x:fonts count="14">
    <x:font>
      <x:sz val="11"/>
      <x:name val="Carlito"/>
    </x:font>
    <x:font>
      <x:sz val="10"/>
      <x:color rgb="FFD3D6D8"/>
      <x:name val="Aptos"/>
    </x:font>
    <x:font>
      <x:b/>
      <x:sz val="20"/>
      <x:color rgb="FF67A7D8"/>
      <x:name val="Aptos Display"/>
    </x:font>
    <x:font>
      <x:sz val="10"/>
      <x:color rgb="FF9CA3A8"/>
      <x:name val="Aptos"/>
    </x:font>
    <x:font>
      <x:b/>
      <x:sz val="10"/>
      <x:color rgb="FF9CA3A8"/>
      <x:name val="Aptos"/>
    </x:font>
    <x:font>
      <x:b/>
      <x:sz val="10"/>
      <x:color rgb="FFD3D6D8"/>
      <x:name val="Aptos"/>
    </x:font>
    <x:font>
      <x:b/>
      <x:sz val="10"/>
      <x:color rgb="FF67A7D8"/>
      <x:name val="Aptos"/>
    </x:font>
    <x:font>
      <x:b/>
      <x:sz val="13"/>
      <x:color rgb="FF67A7D8"/>
      <x:name val="Aptos"/>
    </x:font>
    <x:font>
      <x:b/>
      <x:sz val="22"/>
      <x:color rgb="FFD3D6D8"/>
      <x:name val="Aptos Display"/>
    </x:font>
    <x:font>
      <x:b/>
      <x:sz val="11"/>
      <x:color rgb="FF67A7D8"/>
      <x:name val="Aptos"/>
    </x:font>
    <x:font>
      <x:sz val="9"/>
      <x:color rgb="FF9CA3A8"/>
      <x:name val="Aptos"/>
    </x:font>
    <x:font>
      <x:b/>
      <x:sz val="22"/>
      <x:color rgb="FF67A7D8"/>
      <x:name val="Aptos Display"/>
    </x:font>
    <x:font>
      <x:sz val="11"/>
      <x:color rgb="FF9CA3A8"/>
      <x:name val="Aptos"/>
    </x:font>
    <x:font>
      <x:b/>
      <x:sz val="13"/>
      <x:color rgb="FFD3D6D8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11315"/>
      </x:patternFill>
    </x:fill>
    <x:fill>
      <x:patternFill patternType="solid">
        <x:fgColor rgb="FF202326"/>
      </x:patternFill>
    </x:fill>
    <x:fill>
      <x:patternFill patternType="solid">
        <x:fgColor rgb="FF1E2022"/>
      </x:patternFill>
    </x:fill>
  </x:fills>
  <x:borders count="2">
    <x:border/>
    <x:border/>
  </x:borders>
  <x:cellStyleXfs count="1">
    <x:xf numFmtId="0" fontId="0" fillId="0" borderId="0"/>
  </x:cellStyleXfs>
  <x:cellXfs count="8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0" fontId="1" fillId="4" borderId="1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1" fontId="1" fillId="4" borderId="1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2" fontId="1" fillId="4" borderId="1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1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0" fontId="5" fillId="3" borderId="1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3" borderId="1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3" borderId="1" xfId="0" applyNumberFormat="1" applyFont="1" applyFill="1" applyBorder="1" applyAlignment="1">
      <x:alignment vertical="center"/>
    </x:xf>
    <x:xf numFmtId="203" fontId="1" fillId="4" borderId="0" xfId="0" applyNumberFormat="1" applyFont="1" applyFill="1" applyBorder="1" applyAlignment="1">
      <x:alignment vertical="center"/>
    </x:xf>
    <x:xf numFmtId="203" fontId="1" fillId="4" borderId="1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3" fontId="5" fillId="3" borderId="1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204" fontId="1" fillId="4" borderId="0" xfId="0" applyNumberFormat="1" applyFont="1" applyFill="1" applyBorder="1" applyAlignment="1">
      <x:alignment vertical="center"/>
    </x:xf>
    <x:xf numFmtId="204" fontId="1" fillId="4" borderId="1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1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1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center"/>
    </x:xf>
    <x:xf numFmtId="0" fontId="8" fillId="2" borderId="1" xfId="0" applyNumberFormat="1" applyFont="1" applyFill="1" applyBorder="1" applyAlignment="1">
      <x:alignment vertical="center"/>
    </x:xf>
    <x:xf numFmtId="0" fontId="9" fillId="2" borderId="0" xfId="0" applyNumberFormat="1" applyFont="1" applyFill="1" applyBorder="1" applyAlignment="1">
      <x:alignment vertical="center"/>
    </x:xf>
    <x:xf numFmtId="0" fontId="9" fillId="2" borderId="0" xfId="0" applyNumberFormat="1" applyFont="1" applyFill="1" applyBorder="1" applyAlignment="1">
      <x:alignment horizontal="right" vertical="center"/>
    </x:xf>
    <x:xf numFmtId="0" fontId="9" fillId="2" borderId="1" xfId="0" applyNumberFormat="1" applyFont="1" applyFill="1" applyBorder="1" applyAlignment="1">
      <x:alignment vertical="center"/>
    </x:xf>
    <x:xf numFmtId="0" fontId="9" fillId="2" borderId="1" xfId="0" applyNumberFormat="1" applyFont="1" applyFill="1" applyBorder="1" applyAlignment="1">
      <x:alignment horizontal="right" vertical="center"/>
    </x:xf>
    <x:xf numFmtId="0" fontId="10" fillId="2" borderId="0" xfId="0" applyNumberFormat="1" applyFont="1" applyFill="1" applyBorder="1" applyAlignment="1">
      <x:alignment vertical="center"/>
    </x:xf>
    <x:xf numFmtId="0" fontId="10" fillId="2" borderId="1" xfId="0" applyNumberFormat="1" applyFont="1" applyFill="1" applyBorder="1" applyAlignment="1">
      <x:alignment vertical="center"/>
    </x:xf>
    <x:xf numFmtId="0" fontId="11" fillId="4" borderId="0" xfId="0" applyNumberFormat="1" applyFont="1" applyFill="1" applyBorder="1" applyAlignment="1">
      <x:alignment vertical="center"/>
    </x:xf>
    <x:xf numFmtId="200" fontId="11" fillId="4" borderId="0" xfId="0" applyNumberFormat="1" applyFont="1" applyFill="1" applyBorder="1" applyAlignment="1">
      <x:alignment vertical="center"/>
    </x:xf>
    <x:xf numFmtId="200" fontId="11" fillId="4" borderId="0" xfId="0" applyNumberFormat="1" applyFont="1" applyFill="1" applyBorder="1" applyAlignment="1">
      <x:alignment horizontal="center" vertical="center"/>
    </x:xf>
    <x:xf numFmtId="0" fontId="11" fillId="4" borderId="1" xfId="0" applyNumberFormat="1" applyFont="1" applyFill="1" applyBorder="1" applyAlignment="1">
      <x:alignment vertical="center"/>
    </x:xf>
    <x:xf numFmtId="200" fontId="11" fillId="4" borderId="1" xfId="0" applyNumberFormat="1" applyFont="1" applyFill="1" applyBorder="1" applyAlignment="1">
      <x:alignment vertical="center"/>
    </x:xf>
    <x:xf numFmtId="200" fontId="11" fillId="4" borderId="1" xfId="0" applyNumberFormat="1" applyFont="1" applyFill="1" applyBorder="1" applyAlignment="1">
      <x:alignment horizontal="center" vertical="center"/>
    </x:xf>
    <x:xf numFmtId="0" fontId="12" fillId="4" borderId="0" xfId="0" applyNumberFormat="1" applyFont="1" applyFill="1" applyBorder="1" applyAlignment="1">
      <x:alignment vertical="center"/>
    </x:xf>
    <x:xf numFmtId="0" fontId="12" fillId="4" borderId="0" xfId="0" applyNumberFormat="1" applyFont="1" applyFill="1" applyBorder="1" applyAlignment="1">
      <x:alignment horizontal="center" vertical="center"/>
    </x:xf>
    <x:xf numFmtId="0" fontId="12" fillId="4" borderId="1" xfId="0" applyNumberFormat="1" applyFont="1" applyFill="1" applyBorder="1" applyAlignment="1">
      <x:alignment vertical="center"/>
    </x:xf>
    <x:xf numFmtId="0" fontId="12" fillId="4" borderId="1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 applyAlignment="1">
      <x:alignment vertical="center"/>
    </x:xf>
    <x:xf numFmtId="200" fontId="10" fillId="4" borderId="0" xfId="0" applyNumberFormat="1" applyFont="1" applyFill="1" applyBorder="1" applyAlignment="1">
      <x:alignment vertical="center"/>
    </x:xf>
    <x:xf numFmtId="200" fontId="10" fillId="4" borderId="0" xfId="0" applyNumberFormat="1" applyFont="1" applyFill="1" applyBorder="1" applyAlignment="1">
      <x:alignment horizontal="center" vertical="center"/>
    </x:xf>
    <x:xf numFmtId="0" fontId="10" fillId="4" borderId="1" xfId="0" applyNumberFormat="1" applyFont="1" applyFill="1" applyBorder="1" applyAlignment="1">
      <x:alignment vertical="center"/>
    </x:xf>
    <x:xf numFmtId="200" fontId="10" fillId="4" borderId="1" xfId="0" applyNumberFormat="1" applyFont="1" applyFill="1" applyBorder="1" applyAlignment="1">
      <x:alignment vertical="center"/>
    </x:xf>
    <x:xf numFmtId="200" fontId="10" fillId="4" borderId="1" xfId="0" applyNumberFormat="1" applyFont="1" applyFill="1" applyBorder="1" applyAlignment="1">
      <x:alignment horizontal="center" vertical="center"/>
    </x:xf>
    <x:xf numFmtId="201" fontId="11" fillId="4" borderId="0" xfId="0" applyNumberFormat="1" applyFont="1" applyFill="1" applyBorder="1" applyAlignment="1">
      <x:alignment vertical="center"/>
    </x:xf>
    <x:xf numFmtId="201" fontId="11" fillId="4" borderId="0" xfId="0" applyNumberFormat="1" applyFont="1" applyFill="1" applyBorder="1" applyAlignment="1">
      <x:alignment horizontal="center" vertical="center"/>
    </x:xf>
    <x:xf numFmtId="201" fontId="11" fillId="4" borderId="1" xfId="0" applyNumberFormat="1" applyFont="1" applyFill="1" applyBorder="1" applyAlignment="1">
      <x:alignment vertical="center"/>
    </x:xf>
    <x:xf numFmtId="201" fontId="11" fillId="4" borderId="1" xfId="0" applyNumberFormat="1" applyFont="1" applyFill="1" applyBorder="1" applyAlignment="1">
      <x:alignment horizontal="center" vertical="center"/>
    </x:xf>
    <x:xf numFmtId="201" fontId="10" fillId="4" borderId="0" xfId="0" applyNumberFormat="1" applyFont="1" applyFill="1" applyBorder="1" applyAlignment="1">
      <x:alignment vertical="center"/>
    </x:xf>
    <x:xf numFmtId="201" fontId="10" fillId="4" borderId="0" xfId="0" applyNumberFormat="1" applyFont="1" applyFill="1" applyBorder="1" applyAlignment="1">
      <x:alignment horizontal="center" vertical="center"/>
    </x:xf>
    <x:xf numFmtId="201" fontId="10" fillId="4" borderId="1" xfId="0" applyNumberFormat="1" applyFont="1" applyFill="1" applyBorder="1" applyAlignment="1">
      <x:alignment vertical="center"/>
    </x:xf>
    <x:xf numFmtId="201" fontId="10" fillId="4" borderId="1" xfId="0" applyNumberFormat="1" applyFont="1" applyFill="1" applyBorder="1" applyAlignment="1">
      <x:alignment horizontal="center" vertical="center"/>
    </x:xf>
    <x:xf numFmtId="0" fontId="13" fillId="4" borderId="0" xfId="0" applyNumberFormat="1" applyFont="1" applyFill="1" applyBorder="1" applyAlignment="1">
      <x:alignment vertical="center"/>
    </x:xf>
    <x:xf numFmtId="0" fontId="13" fillId="4" borderId="0" xfId="0" applyNumberFormat="1" applyFont="1" applyFill="1" applyBorder="1" applyAlignment="1">
      <x:alignment horizontal="center" vertical="center"/>
    </x:xf>
    <x:xf numFmtId="0" fontId="13" fillId="4" borderId="1" xfId="0" applyNumberFormat="1" applyFont="1" applyFill="1" applyBorder="1" applyAlignment="1">
      <x:alignment vertical="center"/>
    </x:xf>
    <x:xf numFmtId="0" fontId="13" fillId="4" borderId="1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 applyAlignment="1">
      <x:alignment vertical="center" wrapText="1"/>
    </x:xf>
    <x:xf numFmtId="0" fontId="10" fillId="4" borderId="0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7de7bf03ce4a1c" /><Relationship Type="http://schemas.openxmlformats.org/officeDocument/2006/relationships/theme" Target="/xl/theme/theme1.xml" Id="Rd3413aebda7c4ed5" /><Relationship Type="http://schemas.openxmlformats.org/officeDocument/2006/relationships/sharedStrings" Target="/xl/sharedStrings.xml" Id="R12674f4b806241dc" /><Relationship Type="http://schemas.openxmlformats.org/officeDocument/2006/relationships/worksheet" Target="/xl/worksheets/sheet1.xml" Id="R94decad1badc4069" /><Relationship Type="http://schemas.openxmlformats.org/officeDocument/2006/relationships/worksheet" Target="/xl/worksheets/sheet2.xml" Id="R574061c06354461e" /><Relationship Type="http://schemas.openxmlformats.org/officeDocument/2006/relationships/worksheet" Target="/xl/worksheets/sheet3.xml" Id="Ra394b9642bf84c42" /><Relationship Type="http://schemas.openxmlformats.org/officeDocument/2006/relationships/worksheet" Target="/xl/worksheets/sheet4.xml" Id="Rc8ea843b38074df0" /><Relationship Type="http://schemas.openxmlformats.org/officeDocument/2006/relationships/worksheet" Target="/xl/worksheets/sheet5.xml" Id="Raa72cf1d14564d30" /><Relationship Type="http://schemas.openxmlformats.org/officeDocument/2006/relationships/worksheet" Target="/xl/worksheets/sheet6.xml" Id="R241f50ed24e2410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b5d97b939a64f9a" /><Relationship Type="http://schemas.openxmlformats.org/officeDocument/2006/relationships/chart" Target="/xl/drawings/charts/chart2.xml" Id="R003916b2cdc34cb8" /><Relationship Type="http://schemas.openxmlformats.org/officeDocument/2006/relationships/chart" Target="/xl/drawings/charts/chart3.xml" Id="R4da8927e1c5d4b3e" /><Relationship Type="http://schemas.openxmlformats.org/officeDocument/2006/relationships/chart" Target="/xl/drawings/charts/chart4.xml" Id="R58768e1873a64ebc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layout/>
      <c:barChart>
        <c:barDir val="col"/>
        <c:grouping val="clustered"/>
        <c:varyColors val="0"/>
        <c:ser>
          <c:idx val="0"/>
          <c:order val="0"/>
          <c:tx>
            <c:v>Prompt Tokens</c:v>
          </c:tx>
          <c:spPr>
            <a:solidFill xmlns:a="http://schemas.openxmlformats.org/drawingml/2006/main">
              <a:srgbClr val="5B96BF"/>
            </a:solidFill>
          </c:spPr>
          <c:cat>
            <c:strRef>
              <c:f>='DailyData'!$A$5:$A$44</c:f>
              <c:strCache>
                <c:ptCount val="0"/>
              </c:strCache>
            </c:strRef>
          </c:cat>
          <c:val>
            <c:numRef>
              <c:f>='DailyData'!$C$5:$C$44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Output Tokens</c:v>
          </c:tx>
          <c:spPr>
            <a:solidFill xmlns:a="http://schemas.openxmlformats.org/drawingml/2006/main">
              <a:srgbClr val="8558C9"/>
            </a:solidFill>
          </c:spPr>
          <c:cat>
            <c:strRef>
              <c:f>='DailyData'!$A$5:$A$44</c:f>
              <c:strCache>
                <c:ptCount val="0"/>
              </c:strCache>
            </c:strRef>
          </c:cat>
          <c:val>
            <c:numRef>
              <c:f>='DailyData'!$D$5:$D$44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8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  <c:spPr>
        <a:solidFill xmlns:a="http://schemas.openxmlformats.org/drawingml/2006/main">
          <a:srgbClr val="1E2022"/>
        </a:solidFill>
      </c:spPr>
    </c:plotArea>
    <c:legend>
      <c:legendPos val="t"/>
      <c:overlay val="0"/>
    </c:legend>
    <c:plotVisOnly val="1"/>
  </c:chart>
  <c:spPr>
    <a:solidFill xmlns:a="http://schemas.openxmlformats.org/drawingml/2006/main">
      <a:srgbClr val="1E2022"/>
    </a:solidFill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plotArea>
      <c:layout/>
      <c:barChart>
        <c:barDir val="bar"/>
        <c:grouping val="clustered"/>
        <c:varyColors val="0"/>
        <c:ser>
          <c:idx val="0"/>
          <c:order val="0"/>
          <c:tx>
            <c:v>Token Share</c:v>
          </c:tx>
          <c:spPr>
            <a:solidFill xmlns:a="http://schemas.openxmlformats.org/drawingml/2006/main">
              <a:srgbClr val="8558C9"/>
            </a:solidFill>
          </c:spPr>
          <c:cat>
            <c:strRef>
              <c:f>='Models'!$A$5:$A$12</c:f>
              <c:strCache>
                <c:ptCount val="0"/>
              </c:strCache>
            </c:strRef>
          </c:cat>
          <c:val>
            <c:numRef>
              <c:f>='Models'!$H$5:$H$12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45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  <c:spPr>
        <a:solidFill xmlns:a="http://schemas.openxmlformats.org/drawingml/2006/main">
          <a:srgbClr val="1E2022"/>
        </a:solidFill>
      </c:spPr>
    </c:plotArea>
    <c:plotVisOnly val="1"/>
  </c:chart>
  <c:spPr>
    <a:solidFill xmlns:a="http://schemas.openxmlformats.org/drawingml/2006/main">
      <a:srgbClr val="1E2022"/>
    </a:solidFill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plotArea>
      <c:layout/>
      <c:barChart>
        <c:barDir val="bar"/>
        <c:grouping val="clustered"/>
        <c:varyColors val="0"/>
        <c:ser>
          <c:idx val="0"/>
          <c:order val="0"/>
          <c:tx>
            <c:v>Total Tokens</c:v>
          </c:tx>
          <c:spPr>
            <a:solidFill xmlns:a="http://schemas.openxmlformats.org/drawingml/2006/main">
              <a:srgbClr val="E7A13A"/>
            </a:solidFill>
          </c:spPr>
          <c:cat>
            <c:strRef>
              <c:f>='Repos'!$A$5:$A$12</c:f>
              <c:strCache>
                <c:ptCount val="0"/>
              </c:strCache>
            </c:strRef>
          </c:cat>
          <c:val>
            <c:numRef>
              <c:f>='Repos'!$E$5:$E$12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45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  <c:spPr>
        <a:solidFill xmlns:a="http://schemas.openxmlformats.org/drawingml/2006/main">
          <a:srgbClr val="1E2022"/>
        </a:solidFill>
      </c:spPr>
    </c:plotArea>
    <c:plotVisOnly val="1"/>
  </c:chart>
  <c:spPr>
    <a:solidFill xmlns:a="http://schemas.openxmlformats.org/drawingml/2006/main">
      <a:srgbClr val="1E2022"/>
    </a:solidFill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plotArea>
      <c:layout/>
      <c:barChart>
        <c:barDir val="bar"/>
        <c:grouping val="clustered"/>
        <c:varyColors val="0"/>
        <c:ser>
          <c:idx val="0"/>
          <c:order val="0"/>
          <c:tx>
            <c:v>Total Tokens</c:v>
          </c:tx>
          <c:spPr>
            <a:solidFill xmlns:a="http://schemas.openxmlformats.org/drawingml/2006/main">
              <a:srgbClr val="69B96E"/>
            </a:solidFill>
          </c:spPr>
          <c:cat>
            <c:strRef>
              <c:f>='Workspaces'!$A$5:$A$12</c:f>
              <c:strCache>
                <c:ptCount val="0"/>
              </c:strCache>
            </c:strRef>
          </c:cat>
          <c:val>
            <c:numRef>
              <c:f>='Workspaces'!$E$5:$E$12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45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  <c:spPr>
        <a:solidFill xmlns:a="http://schemas.openxmlformats.org/drawingml/2006/main">
          <a:srgbClr val="1E2022"/>
        </a:solidFill>
      </c:spPr>
    </c:plotArea>
    <c:plotVisOnly val="1"/>
  </c:chart>
  <c:spPr>
    <a:solidFill xmlns:a="http://schemas.openxmlformats.org/drawingml/2006/main">
      <a:srgbClr val="1E2022"/>
    </a:solidFill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16</xdr:row>
      <xdr:rowOff>0</xdr:rowOff>
    </xdr:from>
    <xdr:ext cx="7524750" cy="2857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b5d97b939a64f9a"/>
        </a:graphicData>
      </a:graphic>
    </xdr:graphicFrame>
    <xdr:clientData/>
  </xdr:oneCellAnchor>
  <xdr:oneCellAnchor>
    <xdr:from>
      <xdr:col>10</xdr:col>
      <xdr:colOff>0</xdr:colOff>
      <xdr:row>16</xdr:row>
      <xdr:rowOff>0</xdr:rowOff>
    </xdr:from>
    <xdr:ext cx="4572000" cy="28575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3916b2cdc34cb8"/>
        </a:graphicData>
      </a:graphic>
    </xdr:graphicFrame>
    <xdr:clientData/>
  </xdr:oneCellAnchor>
  <xdr:oneCellAnchor>
    <xdr:from>
      <xdr:col>0</xdr:col>
      <xdr:colOff>0</xdr:colOff>
      <xdr:row>35</xdr:row>
      <xdr:rowOff>0</xdr:rowOff>
    </xdr:from>
    <xdr:ext cx="5905500" cy="28575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da8927e1c5d4b3e"/>
        </a:graphicData>
      </a:graphic>
    </xdr:graphicFrame>
    <xdr:clientData/>
  </xdr:oneCellAnchor>
  <xdr:oneCellAnchor>
    <xdr:from>
      <xdr:col>8</xdr:col>
      <xdr:colOff>0</xdr:colOff>
      <xdr:row>35</xdr:row>
      <xdr:rowOff>0</xdr:rowOff>
    </xdr:from>
    <xdr:ext cx="5905500" cy="28575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8768e1873a64ebc"/>
        </a:graphicData>
      </a:graphic>
    </xdr:graphicFrame>
    <xdr:clientData/>
  </xdr:oneCellAnchor>
</xdr:wsDr>
</file>

<file path=xl/tables/table1.xml><?xml version="1.0" encoding="utf-8"?>
<x:table xmlns:x="http://schemas.openxmlformats.org/spreadsheetml/2006/main" id="1" name="ModelsTable" displayName="ModelsTable" ref="A4:H19" headerRowCount="1">
  <x:tableColumns count="8">
    <x:tableColumn id="1" name="Model"/>
    <x:tableColumn id="2" name="Requests"/>
    <x:tableColumn id="3" name="Prompt Tokens"/>
    <x:tableColumn id="4" name="Output Tokens"/>
    <x:tableColumn id="5" name="Tokens"/>
    <x:tableColumn id="6" name="Premium Units"/>
    <x:tableColumn id="7" name="Credits"/>
    <x:tableColumn id="8" name="Share"/>
  </x:tableColumns>
  <x:tableStyleInfo name="TableStyleMedium2" showRowStripes="1"/>
</x:table>
</file>

<file path=xl/tables/table2.xml><?xml version="1.0" encoding="utf-8"?>
<x:table xmlns:x="http://schemas.openxmlformats.org/spreadsheetml/2006/main" id="2" name="ReposTable" displayName="ReposTable" ref="A4:I18" headerRowCount="1">
  <x:tableColumns count="9">
    <x:tableColumn id="1" name="Repository"/>
    <x:tableColumn id="2" name="Attributed Requests"/>
    <x:tableColumn id="3" name="Prompt Tokens"/>
    <x:tableColumn id="4" name="Output Tokens"/>
    <x:tableColumn id="5" name="Total Tokens"/>
    <x:tableColumn id="6" name="Share"/>
    <x:tableColumn id="7" name="Premium Units"/>
    <x:tableColumn id="8" name="Credits"/>
    <x:tableColumn id="9" name="Top Model"/>
  </x:tableColumns>
  <x:tableStyleInfo name="TableStyleMedium2" showRowStripes="1"/>
</x:table>
</file>

<file path=xl/tables/table3.xml><?xml version="1.0" encoding="utf-8"?>
<x:table xmlns:x="http://schemas.openxmlformats.org/spreadsheetml/2006/main" id="3" name="WorkspacesTable" displayName="WorkspacesTable" ref="A4:I34" headerRowCount="1">
  <x:tableColumns count="9">
    <x:tableColumn id="1" name="Workspace"/>
    <x:tableColumn id="2" name="Requests"/>
    <x:tableColumn id="3" name="Prompt Tokens"/>
    <x:tableColumn id="4" name="Output Tokens"/>
    <x:tableColumn id="5" name="Total Tokens"/>
    <x:tableColumn id="6" name="Premium Units"/>
    <x:tableColumn id="7" name="Credits"/>
    <x:tableColumn id="8" name="Top Model"/>
    <x:tableColumn id="9" name="Token Share"/>
  </x:tableColumns>
  <x:tableStyleInfo name="TableStyleMedium2" showRowStripes="1"/>
</x:table>
</file>

<file path=xl/tables/table4.xml><?xml version="1.0" encoding="utf-8"?>
<x:table xmlns:x="http://schemas.openxmlformats.org/spreadsheetml/2006/main" id="4" name="DailyUsageTable" displayName="DailyUsageTable" ref="A4:H44" headerRowCount="1">
  <x:tableColumns count="8">
    <x:tableColumn id="1" name="Date"/>
    <x:tableColumn id="2" name="Requests"/>
    <x:tableColumn id="3" name="Prompt Tokens"/>
    <x:tableColumn id="4" name="Output Tokens"/>
    <x:tableColumn id="5" name="Tool Rounds"/>
    <x:tableColumn id="6" name="Premium Units"/>
    <x:tableColumn id="7" name="Credits"/>
    <x:tableColumn id="8" name="Sessions"/>
  </x:tableColumns>
  <x:tableStyleInfo name="TableStyleMedium2" showRowStripes="1"/>
</x:table>
</file>

<file path=xl/tables/table5.xml><?xml version="1.0" encoding="utf-8"?>
<x:table xmlns:x="http://schemas.openxmlformats.org/spreadsheetml/2006/main" id="5" name="ExportMetadataTable" displayName="ExportMetadataTable" ref="A4:C15" headerRowCount="1">
  <x:tableColumns count="3">
    <x:tableColumn id="1" name="Key"/>
    <x:tableColumn id="2" name="Value"/>
    <x:tableColumn id="3" name="Description"/>
  </x:tableColumns>
  <x:tableStyleInfo name="TableStyleMedium2" showRowStripes="1"/>
</x:table>
</file>

<file path=xl/tables/table6.xml><?xml version="1.0" encoding="utf-8"?>
<x:table xmlns:x="http://schemas.openxmlformats.org/spreadsheetml/2006/main" id="6" name="TableContract" displayName="TableContract" ref="A18:D23" headerRowCount="1">
  <x:tableColumns count="4">
    <x:tableColumn id="1" name="Table Name"/>
    <x:tableColumn id="2" name="Sheet"/>
    <x:tableColumn id="3" name="Purpose"/>
    <x:tableColumn id="4" name="Extension ac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ab8ff142d77485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42d6eb56a9f434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87223ecea9e4ea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d334452ea6e493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81eda05b60740c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09e7e9a3c81462b" /><Relationship Type="http://schemas.openxmlformats.org/officeDocument/2006/relationships/table" Target="/xl/tables/table6.xml" Id="Ra43c8341c9204619" /></Relationships>
</file>

<file path=xl/worksheets/sheet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</x:cols>
  <x:sheetData>
    <x:row r="1">
      <x:c r="A1" s="44" t="str">
        <x:v>Copilot Usage — All Workspaces</x:v>
      </x:c>
      <x:c r="B1" s="44"/>
      <x:c r="C1" s="44"/>
      <x:c r="D1" s="44"/>
      <x:c r="E1" s="44"/>
      <x:c r="F1" s="44"/>
      <x:c r="G1" s="44"/>
      <x:c r="H1" s="44"/>
      <x:c r="I1" s="44"/>
      <x:c r="J1" s="44"/>
      <x:c r="K1" s="44"/>
      <x:c r="L1" s="44"/>
      <x:c r="M1" s="47" t="str">
        <x:v>PromptStreak Excel Export</x:v>
      </x:c>
      <x:c r="N1" s="47"/>
      <x:c r="O1" s="47"/>
      <x:c r="P1" s="47"/>
    </x:row>
    <x:row r="2">
      <x:c r="A2" s="44"/>
      <x:c r="B2" s="44"/>
      <x:c r="C2" s="44"/>
      <x:c r="D2" s="44"/>
      <x:c r="E2" s="44"/>
      <x:c r="F2" s="44"/>
      <x:c r="G2" s="44"/>
      <x:c r="H2" s="44"/>
      <x:c r="I2" s="44"/>
      <x:c r="J2" s="44"/>
      <x:c r="K2" s="44"/>
      <x:c r="L2" s="44"/>
      <x:c r="M2" s="47"/>
      <x:c r="N2" s="47"/>
      <x:c r="O2" s="47"/>
      <x:c r="P2" s="47"/>
    </x:row>
    <x:row r="3">
      <x:c r="A3" s="50" t="str">
        <x:v>Sample data • 2025-04-27 → 2026-07-26 • Template schema 1.0.0</x:v>
      </x:c>
      <x:c r="B3" s="50"/>
      <x:c r="C3" s="50"/>
      <x:c r="D3" s="50"/>
      <x:c r="E3" s="50"/>
      <x:c r="F3" s="50"/>
      <x:c r="G3" s="50"/>
      <x:c r="H3" s="50"/>
      <x:c r="I3" s="50"/>
      <x:c r="J3" s="50"/>
      <x:c r="K3" s="50"/>
      <x:c r="L3" s="50"/>
      <x:c r="M3" s="50"/>
      <x:c r="N3" s="50"/>
      <x:c r="O3" s="50"/>
      <x:c r="P3" s="50"/>
    </x:row>
    <x:row r="4">
      <x:c r="A4" s="6"/>
      <x:c r="B4" s="6"/>
      <x:c r="C4" s="6"/>
      <x:c r="D4" s="6"/>
      <x:c r="E4" s="6"/>
      <x:c r="F4" s="6"/>
      <x:c r="G4" s="6"/>
      <x:c r="H4" s="6"/>
      <x:c r="I4" s="6"/>
      <x:c r="J4" s="6"/>
      <x:c r="K4" s="6"/>
      <x:c r="L4" s="6"/>
      <x:c r="M4" s="6"/>
      <x:c r="N4" s="6"/>
      <x:c r="O4" s="6"/>
      <x:c r="P4" s="6"/>
    </x:row>
    <x:row r="5" ht="26" customHeight="1">
      <x:c r="A5" s="54" t="n">
        <x:f>SUM(ModelsTable[Requests])</x:f>
        <x:v>2386</x:v>
      </x:c>
      <x:c r="B5" s="16"/>
      <x:c r="C5" s="16"/>
      <x:c r="D5" s="16"/>
      <x:c r="E5" s="54" t="n">
        <x:f>SUM(ModelsTable[Prompt Tokens])</x:f>
        <x:v>90514441</x:v>
      </x:c>
      <x:c r="F5" s="16"/>
      <x:c r="G5" s="16"/>
      <x:c r="H5" s="16"/>
      <x:c r="I5" s="54" t="n">
        <x:f>SUM(ModelsTable[Output Tokens])</x:f>
        <x:v>2115773</x:v>
      </x:c>
      <x:c r="J5" s="16"/>
      <x:c r="K5" s="16"/>
      <x:c r="L5" s="16"/>
      <x:c r="M5" s="54" t="n">
        <x:f>SUM(DailyUsageTable[Tool Rounds])</x:f>
        <x:v>23532</x:v>
      </x:c>
      <x:c r="N5" s="16"/>
      <x:c r="O5" s="16"/>
      <x:c r="P5" s="16"/>
    </x:row>
    <x:row r="6" ht="26" customHeight="1">
      <x:c r="A6" s="16"/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  <x:c r="N6" s="16"/>
      <x:c r="O6" s="16"/>
      <x:c r="P6" s="16"/>
    </x:row>
    <x:row r="7" ht="22" customHeight="1">
      <x:c r="A7" s="59" t="str">
        <x:v>Requests</x:v>
      </x:c>
      <x:c r="B7" s="16"/>
      <x:c r="C7" s="16"/>
      <x:c r="D7" s="16"/>
      <x:c r="E7" s="59" t="str">
        <x:v>Prompt Tokens</x:v>
      </x:c>
      <x:c r="F7" s="16"/>
      <x:c r="G7" s="16"/>
      <x:c r="H7" s="16"/>
      <x:c r="I7" s="59" t="str">
        <x:v>Output Tokens</x:v>
      </x:c>
      <x:c r="J7" s="16"/>
      <x:c r="K7" s="16"/>
      <x:c r="L7" s="16"/>
      <x:c r="M7" s="59" t="str">
        <x:v>Tool Rounds</x:v>
      </x:c>
      <x:c r="N7" s="16"/>
      <x:c r="O7" s="16"/>
      <x:c r="P7" s="16"/>
    </x:row>
    <x:row r="8" ht="19" customHeight="1">
      <x:c r="A8" s="64" t="str">
        <x:f>"≈ "&amp;TEXT(ROUND(SUM(ModelsTable[Requests])/MAX(1,ROUNDUP((MAX(DailyUsageTable[Date])-MIN(DailyUsageTable[Date])+1)/30.4375,0)),0),"#,##0")&amp;"/mo"</x:f>
        <x:v>≈ 159/mo</x:v>
      </x:c>
      <x:c r="B8" s="16"/>
      <x:c r="C8" s="16"/>
      <x:c r="D8" s="16"/>
      <x:c r="E8" s="64" t="str">
        <x:f>"≈ "&amp;TEXT(ROUND(SUM(ModelsTable[Prompt Tokens])/MAX(1,ROUNDUP((MAX(DailyUsageTable[Date])-MIN(DailyUsageTable[Date])+1)/30.4375,0)),0),"#,##0")&amp;"/mo"</x:f>
        <x:v>≈ 6,034,296/mo</x:v>
      </x:c>
      <x:c r="F8" s="16"/>
      <x:c r="G8" s="16"/>
      <x:c r="H8" s="16"/>
      <x:c r="I8" s="64" t="str">
        <x:f>"≈ "&amp;TEXT(ROUND(SUM(ModelsTable[Output Tokens])/MAX(1,ROUNDUP((MAX(DailyUsageTable[Date])-MIN(DailyUsageTable[Date])+1)/30.4375,0)),0),"#,##0")&amp;"/mo"</x:f>
        <x:v>≈ 141,052/mo</x:v>
      </x:c>
      <x:c r="J8" s="16"/>
      <x:c r="K8" s="16"/>
      <x:c r="L8" s="16"/>
      <x:c r="M8" s="64" t="str">
        <x:f>"≈ "&amp;TEXT(ROUND(SUM(DailyUsageTable[Tool Rounds])/MAX(1,ROUNDUP((MAX(DailyUsageTable[Date])-MIN(DailyUsageTable[Date])+1)/30.4375,0)),0),"#,##0")&amp;"/mo"</x:f>
        <x:v>≈ 1,569/mo</x:v>
      </x:c>
      <x:c r="N8" s="16"/>
      <x:c r="O8" s="16"/>
      <x:c r="P8" s="16"/>
    </x:row>
    <x:row r="9">
      <x:c r="A9" s="6"/>
      <x:c r="B9" s="6"/>
      <x:c r="C9" s="6"/>
      <x:c r="D9" s="6"/>
      <x:c r="E9" s="6"/>
      <x:c r="F9" s="6"/>
      <x:c r="G9" s="6"/>
      <x:c r="H9" s="6"/>
      <x:c r="I9" s="6"/>
      <x:c r="J9" s="6"/>
      <x:c r="K9" s="6"/>
      <x:c r="L9" s="6"/>
      <x:c r="M9" s="6"/>
      <x:c r="N9" s="6"/>
      <x:c r="O9" s="6"/>
      <x:c r="P9" s="6"/>
    </x:row>
    <x:row r="10" ht="26" customHeight="1">
      <x:c r="A10" s="69" t="n">
        <x:f>SUM(ModelsTable[Premium Units])</x:f>
        <x:v>6352</x:v>
      </x:c>
      <x:c r="B10" s="16"/>
      <x:c r="C10" s="16"/>
      <x:c r="D10" s="16"/>
      <x:c r="E10" s="54" t="n">
        <x:f>SUM(ModelsTable[Credits])</x:f>
        <x:v>40470</x:v>
      </x:c>
      <x:c r="F10" s="16"/>
      <x:c r="G10" s="16"/>
      <x:c r="H10" s="16"/>
      <x:c r="I10" s="54" t="n">
        <x:f>ROWS(WorkspacesTable[Workspace])</x:f>
        <x:v>30</x:v>
      </x:c>
      <x:c r="J10" s="16"/>
      <x:c r="K10" s="16"/>
      <x:c r="L10" s="16"/>
      <x:c r="M10" s="54" t="n">
        <x:f>INDEX(ExportMetadataTable[Value],MATCH("Sessions",ExportMetadataTable[Key],0))</x:f>
        <x:v>157</x:v>
      </x:c>
      <x:c r="N10" s="16"/>
      <x:c r="O10" s="16"/>
      <x:c r="P10" s="16"/>
    </x:row>
    <x:row r="11" ht="26" customHeight="1">
      <x:c r="A11" s="16"/>
      <x:c r="B11" s="16"/>
      <x:c r="C11" s="16"/>
      <x:c r="D11" s="16"/>
      <x:c r="E11" s="16"/>
      <x:c r="F11" s="16"/>
      <x:c r="G11" s="16"/>
      <x:c r="H11" s="16"/>
      <x:c r="I11" s="16"/>
      <x:c r="J11" s="16"/>
      <x:c r="K11" s="16"/>
      <x:c r="L11" s="16"/>
      <x:c r="M11" s="16"/>
      <x:c r="N11" s="16"/>
      <x:c r="O11" s="16"/>
      <x:c r="P11" s="16"/>
    </x:row>
    <x:row r="12" ht="22" customHeight="1">
      <x:c r="A12" s="59" t="str">
        <x:v>Premium Units</x:v>
      </x:c>
      <x:c r="B12" s="16"/>
      <x:c r="C12" s="16"/>
      <x:c r="D12" s="16"/>
      <x:c r="E12" s="59" t="str">
        <x:v>Credits</x:v>
      </x:c>
      <x:c r="F12" s="16"/>
      <x:c r="G12" s="16"/>
      <x:c r="H12" s="16"/>
      <x:c r="I12" s="59" t="str">
        <x:v>Workspaces</x:v>
      </x:c>
      <x:c r="J12" s="16"/>
      <x:c r="K12" s="16"/>
      <x:c r="L12" s="16"/>
      <x:c r="M12" s="59" t="str">
        <x:v>Sessions</x:v>
      </x:c>
      <x:c r="N12" s="16"/>
      <x:c r="O12" s="16"/>
      <x:c r="P12" s="16"/>
    </x:row>
    <x:row r="13" ht="19" customHeight="1">
      <x:c r="A13" s="73" t="str">
        <x:f>"≈ "&amp;TEXT(ROUND(SUM(ModelsTable[Premium Units])/MAX(1,ROUNDUP((MAX(DailyUsageTable[Date])-MIN(DailyUsageTable[Date])+1)/30.4375,0)),1),"#,##0.0")&amp;"x/mo"</x:f>
        <x:v>≈ 423.5x/mo</x:v>
      </x:c>
      <x:c r="B13" s="16"/>
      <x:c r="C13" s="16"/>
      <x:c r="D13" s="16"/>
      <x:c r="E13" s="64" t="str">
        <x:f>"≈ "&amp;TEXT(ROUND(SUM(ModelsTable[Credits])/MAX(1,ROUNDUP((MAX(DailyUsageTable[Date])-MIN(DailyUsageTable[Date])+1)/30.4375,0)),0),"#,##0")&amp;"/mo"</x:f>
        <x:v>≈ 2,698/mo</x:v>
      </x:c>
      <x:c r="F13" s="16"/>
      <x:c r="G13" s="16"/>
      <x:c r="H13" s="16"/>
      <x:c r="I13" s="64" t="str">
        <x:f>ROWS(ReposTable[Repository])&amp;" repositories"</x:f>
        <x:v>14 repositories</x:v>
      </x:c>
      <x:c r="J13" s="16"/>
      <x:c r="K13" s="16"/>
      <x:c r="L13" s="16"/>
      <x:c r="M13" s="64" t="str">
        <x:f>"≈ "&amp;TEXT(ROUND(INDEX(ExportMetadataTable[Value],MATCH("Sessions",ExportMetadataTable[Key],0))/MAX(1,ROUNDUP((MAX(DailyUsageTable[Date])-MIN(DailyUsageTable[Date])+1)/30.4375,0)),0),"#,##0")&amp;"/mo"</x:f>
        <x:v>≈ 10/mo</x:v>
      </x:c>
      <x:c r="N13" s="16"/>
      <x:c r="O13" s="16"/>
      <x:c r="P13" s="16"/>
    </x:row>
    <x:row r="14">
      <x:c r="A14" s="6"/>
      <x:c r="B14" s="6"/>
      <x:c r="C14" s="6"/>
      <x:c r="D14" s="6"/>
      <x:c r="E14" s="6"/>
      <x:c r="F14" s="6"/>
      <x:c r="G14" s="6"/>
      <x:c r="H14" s="6"/>
      <x:c r="I14" s="6"/>
      <x:c r="J14" s="6"/>
      <x:c r="K14" s="6"/>
      <x:c r="L14" s="6"/>
      <x:c r="M14" s="6"/>
      <x:c r="N14" s="6"/>
      <x:c r="O14" s="6"/>
      <x:c r="P14" s="6"/>
    </x:row>
    <x:row r="15">
      <x:c r="A15" s="77" t="str">
        <x:v>Daily Token Usage</x:v>
      </x:c>
      <x:c r="B15" s="77"/>
      <x:c r="C15" s="77"/>
      <x:c r="D15" s="77"/>
      <x:c r="E15" s="77"/>
      <x:c r="F15" s="77"/>
      <x:c r="G15" s="77"/>
      <x:c r="H15" s="77"/>
      <x:c r="I15" s="77"/>
      <x:c r="J15" s="77"/>
      <x:c r="K15" s="77" t="str">
        <x:v>Model Distribution</x:v>
      </x:c>
      <x:c r="L15" s="77"/>
      <x:c r="M15" s="77"/>
      <x:c r="N15" s="77"/>
      <x:c r="O15" s="77"/>
      <x:c r="P15" s="77"/>
    </x:row>
    <x:row r="16">
      <x:c r="A16" s="77"/>
      <x:c r="B16" s="77"/>
      <x:c r="C16" s="77"/>
      <x:c r="D16" s="77"/>
      <x:c r="E16" s="77"/>
      <x:c r="F16" s="77"/>
      <x:c r="G16" s="77"/>
      <x:c r="H16" s="77"/>
      <x:c r="I16" s="77"/>
      <x:c r="J16" s="77"/>
      <x:c r="K16" s="77"/>
      <x:c r="L16" s="77"/>
      <x:c r="M16" s="77"/>
      <x:c r="N16" s="77"/>
      <x:c r="O16" s="77"/>
      <x:c r="P16" s="77"/>
    </x:row>
    <x:row r="17">
      <x:c r="A17" s="6"/>
      <x:c r="B17" s="6"/>
      <x:c r="C17" s="6"/>
      <x:c r="D17" s="6"/>
      <x:c r="E17" s="6"/>
      <x:c r="F17" s="6"/>
      <x:c r="G17" s="6"/>
      <x:c r="H17" s="6"/>
      <x:c r="I17" s="6"/>
      <x:c r="J17" s="6"/>
      <x:c r="K17" s="6"/>
      <x:c r="L17" s="6"/>
      <x:c r="M17" s="6"/>
      <x:c r="N17" s="6"/>
      <x:c r="O17" s="6"/>
      <x:c r="P17" s="6"/>
    </x:row>
    <x:row r="18">
      <x:c r="A18" s="6"/>
      <x:c r="B18" s="6"/>
      <x:c r="C18" s="6"/>
      <x:c r="D18" s="6"/>
      <x:c r="E18" s="6"/>
      <x:c r="F18" s="6"/>
      <x:c r="G18" s="6"/>
      <x:c r="H18" s="6"/>
      <x:c r="I18" s="6"/>
      <x:c r="J18" s="6"/>
      <x:c r="K18" s="6"/>
      <x:c r="L18" s="6"/>
      <x:c r="M18" s="6"/>
      <x:c r="N18" s="6"/>
      <x:c r="O18" s="6"/>
      <x:c r="P18" s="6"/>
    </x:row>
    <x:row r="19">
      <x:c r="A19" s="6"/>
      <x:c r="B19" s="6"/>
      <x:c r="C19" s="6"/>
      <x:c r="D19" s="6"/>
      <x:c r="E19" s="6"/>
      <x:c r="F19" s="6"/>
      <x:c r="G19" s="6"/>
      <x:c r="H19" s="6"/>
      <x:c r="I19" s="6"/>
      <x:c r="J19" s="6"/>
      <x:c r="K19" s="6"/>
      <x:c r="L19" s="6"/>
      <x:c r="M19" s="6"/>
      <x:c r="N19" s="6"/>
      <x:c r="O19" s="6"/>
      <x:c r="P19" s="6"/>
    </x:row>
    <x:row r="20">
      <x:c r="A20" s="6"/>
      <x:c r="B20" s="6"/>
      <x:c r="C20" s="6"/>
      <x:c r="D20" s="6"/>
      <x:c r="E20" s="6"/>
      <x:c r="F20" s="6"/>
      <x:c r="G20" s="6"/>
      <x:c r="H20" s="6"/>
      <x:c r="I20" s="6"/>
      <x:c r="J20" s="6"/>
      <x:c r="K20" s="6"/>
      <x:c r="L20" s="6"/>
      <x:c r="M20" s="6"/>
      <x:c r="N20" s="6"/>
      <x:c r="O20" s="6"/>
      <x:c r="P20" s="6"/>
    </x:row>
    <x:row r="21">
      <x:c r="A21" s="6"/>
      <x:c r="B21" s="6"/>
      <x:c r="C21" s="6"/>
      <x:c r="D21" s="6"/>
      <x:c r="E21" s="6"/>
      <x:c r="F21" s="6"/>
      <x:c r="G21" s="6"/>
      <x:c r="H21" s="6"/>
      <x:c r="I21" s="6"/>
      <x:c r="J21" s="6"/>
      <x:c r="K21" s="6"/>
      <x:c r="L21" s="6"/>
      <x:c r="M21" s="6"/>
      <x:c r="N21" s="6"/>
      <x:c r="O21" s="6"/>
      <x:c r="P21" s="6"/>
    </x:row>
    <x:row r="22">
      <x:c r="A22" s="6"/>
      <x:c r="B22" s="6"/>
      <x:c r="C22" s="6"/>
      <x:c r="D22" s="6"/>
      <x:c r="E22" s="6"/>
      <x:c r="F22" s="6"/>
      <x:c r="G22" s="6"/>
      <x:c r="H22" s="6"/>
      <x:c r="I22" s="6"/>
      <x:c r="J22" s="6"/>
      <x:c r="K22" s="6"/>
      <x:c r="L22" s="6"/>
      <x:c r="M22" s="6"/>
      <x:c r="N22" s="6"/>
      <x:c r="O22" s="6"/>
      <x:c r="P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  <x:c r="J23" s="6"/>
      <x:c r="K23" s="6"/>
      <x:c r="L23" s="6"/>
      <x:c r="M23" s="6"/>
      <x:c r="N23" s="6"/>
      <x:c r="O23" s="6"/>
      <x:c r="P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  <x:c r="L24" s="6"/>
      <x:c r="M24" s="6"/>
      <x:c r="N24" s="6"/>
      <x:c r="O24" s="6"/>
      <x:c r="P24" s="6"/>
    </x:row>
    <x:row r="25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  <x:c r="L25" s="6"/>
      <x:c r="M25" s="6"/>
      <x:c r="N25" s="6"/>
      <x:c r="O25" s="6"/>
      <x:c r="P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6"/>
      <x:c r="P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  <x:c r="N31" s="6"/>
      <x:c r="O31" s="6"/>
      <x:c r="P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  <x:c r="M32" s="6"/>
      <x:c r="N32" s="6"/>
      <x:c r="O32" s="6"/>
      <x:c r="P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  <x:c r="N33" s="6"/>
      <x:c r="O33" s="6"/>
      <x:c r="P33" s="6"/>
    </x:row>
    <x:row r="34">
      <x:c r="A34" s="77" t="str">
        <x:v>Top Repositories</x:v>
      </x:c>
      <x:c r="B34" s="77"/>
      <x:c r="C34" s="77"/>
      <x:c r="D34" s="77"/>
      <x:c r="E34" s="77"/>
      <x:c r="F34" s="77"/>
      <x:c r="G34" s="77"/>
      <x:c r="H34" s="77"/>
      <x:c r="I34" s="77" t="str">
        <x:v>Top Workspaces</x:v>
      </x:c>
      <x:c r="J34" s="77"/>
      <x:c r="K34" s="77"/>
      <x:c r="L34" s="77"/>
      <x:c r="M34" s="77"/>
      <x:c r="N34" s="77"/>
      <x:c r="O34" s="77"/>
      <x:c r="P34" s="77"/>
    </x:row>
    <x:row r="35">
      <x:c r="A35" s="77"/>
      <x:c r="B35" s="77"/>
      <x:c r="C35" s="77"/>
      <x:c r="D35" s="77"/>
      <x:c r="E35" s="77"/>
      <x:c r="F35" s="77"/>
      <x:c r="G35" s="77"/>
      <x:c r="H35" s="77"/>
      <x:c r="I35" s="77"/>
      <x:c r="J35" s="77"/>
      <x:c r="K35" s="77"/>
      <x:c r="L35" s="77"/>
      <x:c r="M35" s="77"/>
      <x:c r="N35" s="77"/>
      <x:c r="O35" s="77"/>
      <x:c r="P35" s="77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</x:row>
    <x:row r="55">
      <x:c r="A55" s="81" t="str">
        <x:v>Wiring note: replace rows in ModelsTable, ReposTable, WorkspacesTable and DailyUsageTable. Keep table names and headers stable. Update the chart series end rows when exported row counts change.</x:v>
      </x:c>
      <x:c r="B55" s="81"/>
      <x:c r="C55" s="81"/>
      <x:c r="D55" s="81"/>
      <x:c r="E55" s="81"/>
      <x:c r="F55" s="81"/>
      <x:c r="G55" s="81"/>
      <x:c r="H55" s="81"/>
      <x:c r="I55" s="81"/>
      <x:c r="J55" s="81"/>
      <x:c r="K55" s="81"/>
      <x:c r="L55" s="81"/>
      <x:c r="M55" s="81"/>
      <x:c r="N55" s="81"/>
      <x:c r="O55" s="81"/>
      <x:c r="P55" s="81"/>
    </x:row>
    <x:row r="56">
      <x:c r="A56" s="81"/>
      <x:c r="B56" s="81"/>
      <x:c r="C56" s="81"/>
      <x:c r="D56" s="81"/>
      <x:c r="E56" s="81"/>
      <x:c r="F56" s="81"/>
      <x:c r="G56" s="81"/>
      <x:c r="H56" s="81"/>
      <x:c r="I56" s="81"/>
      <x:c r="J56" s="81"/>
      <x:c r="K56" s="81"/>
      <x:c r="L56" s="81"/>
      <x:c r="M56" s="81"/>
      <x:c r="N56" s="81"/>
      <x:c r="O56" s="81"/>
      <x:c r="P56" s="81"/>
    </x:row>
    <x:row r="57">
      <x:c r="A57" s="81"/>
      <x:c r="B57" s="81"/>
      <x:c r="C57" s="81"/>
      <x:c r="D57" s="81"/>
      <x:c r="E57" s="81"/>
      <x:c r="F57" s="81"/>
      <x:c r="G57" s="81"/>
      <x:c r="H57" s="81"/>
      <x:c r="I57" s="81"/>
      <x:c r="J57" s="81"/>
      <x:c r="K57" s="81"/>
      <x:c r="L57" s="81"/>
      <x:c r="M57" s="81"/>
      <x:c r="N57" s="81"/>
      <x:c r="O57" s="81"/>
      <x:c r="P57" s="81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</x:row>
  </x:sheetData>
  <x:mergeCells>
    <x:mergeCell ref="A1:L2"/>
    <x:mergeCell ref="M1:P2"/>
    <x:mergeCell ref="A3:P3"/>
    <x:mergeCell ref="A5:D6"/>
    <x:mergeCell ref="A7:D7"/>
    <x:mergeCell ref="A8:D8"/>
    <x:mergeCell ref="E5:H6"/>
    <x:mergeCell ref="E7:H7"/>
    <x:mergeCell ref="E8:H8"/>
    <x:mergeCell ref="I5:L6"/>
    <x:mergeCell ref="I7:L7"/>
    <x:mergeCell ref="I8:L8"/>
    <x:mergeCell ref="M5:P6"/>
    <x:mergeCell ref="M7:P7"/>
    <x:mergeCell ref="M8:P8"/>
    <x:mergeCell ref="A10:D11"/>
    <x:mergeCell ref="A12:D12"/>
    <x:mergeCell ref="A13:D13"/>
    <x:mergeCell ref="E10:H11"/>
    <x:mergeCell ref="E12:H12"/>
    <x:mergeCell ref="E13:H13"/>
    <x:mergeCell ref="I10:L11"/>
    <x:mergeCell ref="I12:L12"/>
    <x:mergeCell ref="I13:L13"/>
    <x:mergeCell ref="M10:P11"/>
    <x:mergeCell ref="M12:P12"/>
    <x:mergeCell ref="M13:P13"/>
    <x:mergeCell ref="A15:J16"/>
    <x:mergeCell ref="K15:P16"/>
    <x:mergeCell ref="A34:H35"/>
    <x:mergeCell ref="I34:P35"/>
    <x:mergeCell ref="A55:P57"/>
  </x:mergeCells>
  <x:pageMargins left="0.7" right="0.7" top="0.75" bottom="0.75" header="0.3" footer="0.3"/>
  <x:drawing xmlns:r="http://schemas.openxmlformats.org/officeDocument/2006/relationships" r:id="Rcab8ff142d774853"/>
</x:worksheet>
</file>

<file path=xl/worksheets/sheet2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7" hidden="0" customWidth="1"/>
    <x:col min="4" max="4" width="17" hidden="0" customWidth="1"/>
    <x:col min="5" max="5" width="16" hidden="0" customWidth="1"/>
    <x:col min="6" max="6" width="15" hidden="0" customWidth="1"/>
    <x:col min="7" max="7" width="12" hidden="0" customWidth="1"/>
    <x:col min="8" max="8" width="11" hidden="0" customWidth="1"/>
  </x:cols>
  <x:sheetData>
    <x:row r="1" ht="34" customHeight="1">
      <x:c r="A1" s="8" t="str">
        <x:v>Models</x:v>
      </x:c>
      <x:c r="B1" s="8"/>
      <x:c r="C1" s="8"/>
      <x:c r="D1" s="8"/>
      <x:c r="E1" s="8"/>
      <x:c r="F1" s="8"/>
      <x:c r="G1" s="8"/>
      <x:c r="H1" s="8"/>
      <x:c r="I1" s="6"/>
      <x:c r="J1" s="6"/>
      <x:c r="K1" s="6"/>
      <x:c r="L1" s="6"/>
      <x:c r="M1" s="6"/>
      <x:c r="N1" s="6"/>
      <x:c r="O1" s="6"/>
      <x:c r="P1" s="6"/>
    </x:row>
    <x:row r="2" ht="22" customHeight="1">
      <x:c r="A2" s="10" t="str">
        <x:v>Model-level usage. The extension should replace rows in the Excel table named ModelsTable.</x:v>
      </x:c>
      <x:c r="B2" s="10"/>
      <x:c r="C2" s="10"/>
      <x:c r="D2" s="10"/>
      <x:c r="E2" s="10"/>
      <x:c r="F2" s="10"/>
      <x:c r="G2" s="10"/>
      <x:c r="H2" s="10"/>
      <x:c r="I2" s="6"/>
      <x:c r="J2" s="6"/>
      <x:c r="K2" s="6"/>
      <x:c r="L2" s="6"/>
      <x:c r="M2" s="6"/>
      <x:c r="N2" s="6"/>
      <x:c r="O2" s="6"/>
      <x:c r="P2" s="6"/>
    </x:row>
    <x:row r="3">
      <x:c r="A3" s="6"/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</x:row>
    <x:row r="4" ht="26" customHeight="1">
      <x:c r="A4" s="13" t="str">
        <x:v>Model</x:v>
      </x:c>
      <x:c r="B4" s="13" t="str">
        <x:v>Requests</x:v>
      </x:c>
      <x:c r="C4" s="13" t="str">
        <x:v>Prompt Tokens</x:v>
      </x:c>
      <x:c r="D4" s="13" t="str">
        <x:v>Output Tokens</x:v>
      </x:c>
      <x:c r="E4" s="13" t="str">
        <x:v>Tokens</x:v>
      </x:c>
      <x:c r="F4" s="13" t="str">
        <x:v>Premium Units</x:v>
      </x:c>
      <x:c r="G4" s="13" t="str">
        <x:v>Credits</x:v>
      </x:c>
      <x:c r="H4" s="13" t="str">
        <x:v>Share</x:v>
      </x:c>
      <x:c r="I4" s="6"/>
      <x:c r="J4" s="6"/>
      <x:c r="K4" s="6"/>
      <x:c r="L4" s="6"/>
      <x:c r="M4" s="6"/>
      <x:c r="N4" s="6"/>
      <x:c r="O4" s="6"/>
      <x:c r="P4" s="6"/>
    </x:row>
    <x:row r="5" ht="24" customHeight="1">
      <x:c r="A5" s="16" t="str">
        <x:v>claude-opus-4.6</x:v>
      </x:c>
      <x:c r="B5" s="18" t="n">
        <x:v>862</x:v>
      </x:c>
      <x:c r="C5" s="18" t="n">
        <x:v>1094511</x:v>
      </x:c>
      <x:c r="D5" s="18" t="n">
        <x:v>25584</x:v>
      </x:c>
      <x:c r="E5" s="18" t="n">
        <x:f>C5+D5</x:f>
        <x:v>1120095</x:v>
      </x:c>
      <x:c r="F5" s="20" t="n">
        <x:v>862</x:v>
      </x:c>
      <x:c r="G5" s="18" t="n">
        <x:v>0</x:v>
      </x:c>
      <x:c r="H5" s="22" t="n">
        <x:f>E5/SUM($E$5:$E$19)</x:f>
        <x:v>0.0120921128391218</x:v>
      </x:c>
      <x:c r="I5" s="6"/>
      <x:c r="J5" s="6"/>
      <x:c r="K5" s="6"/>
      <x:c r="L5" s="6"/>
      <x:c r="M5" s="6"/>
      <x:c r="N5" s="6"/>
      <x:c r="O5" s="6"/>
      <x:c r="P5" s="6"/>
    </x:row>
    <x:row r="6" ht="24" customHeight="1">
      <x:c r="A6" s="16" t="str">
        <x:v>gpt-5.3-codex</x:v>
      </x:c>
      <x:c r="B6" s="18" t="n">
        <x:v>771</x:v>
      </x:c>
      <x:c r="C6" s="18" t="n">
        <x:v>51471147</x:v>
      </x:c>
      <x:c r="D6" s="18" t="n">
        <x:v>1203137</x:v>
      </x:c>
      <x:c r="E6" s="18" t="n">
        <x:f>C6+D6</x:f>
        <x:v>52674284</x:v>
      </x:c>
      <x:c r="F6" s="20" t="n">
        <x:v>2289</x:v>
      </x:c>
      <x:c r="G6" s="18" t="n">
        <x:v>27026</x:v>
      </x:c>
      <x:c r="H6" s="22" t="n">
        <x:f>E6/SUM($E$5:$E$19)</x:f>
        <x:v>0.5686512178412975</x:v>
      </x:c>
      <x:c r="I6" s="6"/>
      <x:c r="J6" s="6"/>
      <x:c r="K6" s="6"/>
      <x:c r="L6" s="6"/>
      <x:c r="M6" s="6"/>
      <x:c r="N6" s="6"/>
      <x:c r="O6" s="6"/>
      <x:c r="P6" s="6"/>
    </x:row>
    <x:row r="7" ht="24" customHeight="1">
      <x:c r="A7" s="16" t="str">
        <x:v>claude-opus-4.8</x:v>
      </x:c>
      <x:c r="B7" s="18" t="n">
        <x:v>323</x:v>
      </x:c>
      <x:c r="C7" s="18" t="n">
        <x:v>18329273</x:v>
      </x:c>
      <x:c r="D7" s="18" t="n">
        <x:v>428446</x:v>
      </x:c>
      <x:c r="E7" s="18" t="n">
        <x:f>C7+D7</x:f>
        <x:v>18757719</x:v>
      </x:c>
      <x:c r="F7" s="20" t="n">
        <x:v>572</x:v>
      </x:c>
      <x:c r="G7" s="18" t="n">
        <x:v>4264</x:v>
      </x:c>
      <x:c r="H7" s="22" t="n">
        <x:f>E7/SUM($E$5:$E$19)</x:f>
        <x:v>0.20250108674044517</x:v>
      </x:c>
      <x:c r="I7" s="6"/>
      <x:c r="J7" s="6"/>
      <x:c r="K7" s="6"/>
      <x:c r="L7" s="6"/>
      <x:c r="M7" s="6"/>
      <x:c r="N7" s="6"/>
      <x:c r="O7" s="6"/>
      <x:c r="P7" s="6"/>
    </x:row>
    <x:row r="8" ht="24" customHeight="1">
      <x:c r="A8" s="16" t="str">
        <x:v>unknown</x:v>
      </x:c>
      <x:c r="B8" s="18" t="n">
        <x:v>225</x:v>
      </x:c>
      <x:c r="C8" s="18" t="n">
        <x:v>207781</x:v>
      </x:c>
      <x:c r="D8" s="18" t="n">
        <x:v>4857</x:v>
      </x:c>
      <x:c r="E8" s="18" t="n">
        <x:f>C8+D8</x:f>
        <x:v>212638</x:v>
      </x:c>
      <x:c r="F8" s="20" t="n">
        <x:v>0</x:v>
      </x:c>
      <x:c r="G8" s="18" t="n">
        <x:v>0</x:v>
      </x:c>
      <x:c r="H8" s="22" t="n">
        <x:f>E8/SUM($E$5:$E$19)</x:f>
        <x:v>0.0022955576892006316</x:v>
      </x:c>
      <x:c r="I8" s="6"/>
      <x:c r="J8" s="6"/>
      <x:c r="K8" s="6"/>
      <x:c r="L8" s="6"/>
      <x:c r="M8" s="6"/>
      <x:c r="N8" s="6"/>
      <x:c r="O8" s="6"/>
      <x:c r="P8" s="6"/>
    </x:row>
    <x:row r="9" ht="24" customHeight="1">
      <x:c r="A9" s="16" t="str">
        <x:v>claude-sonnet-4.6</x:v>
      </x:c>
      <x:c r="B9" s="18" t="n">
        <x:v>77</x:v>
      </x:c>
      <x:c r="C9" s="18" t="n">
        <x:v>6763914</x:v>
      </x:c>
      <x:c r="D9" s="18" t="n">
        <x:v>158106</x:v>
      </x:c>
      <x:c r="E9" s="18" t="n">
        <x:f>C9+D9</x:f>
        <x:v>6922020</x:v>
      </x:c>
      <x:c r="F9" s="20" t="n">
        <x:v>1251</x:v>
      </x:c>
      <x:c r="G9" s="18" t="n">
        <x:v>3588</x:v>
      </x:c>
      <x:c r="H9" s="22" t="n">
        <x:f>E9/SUM($E$5:$E$19)</x:f>
        <x:v>0.07472745339873661</x:v>
      </x:c>
      <x:c r="I9" s="6"/>
      <x:c r="J9" s="6"/>
      <x:c r="K9" s="6"/>
      <x:c r="L9" s="6"/>
      <x:c r="M9" s="6"/>
      <x:c r="N9" s="6"/>
      <x:c r="O9" s="6"/>
      <x:c r="P9" s="6"/>
    </x:row>
    <x:row r="10" ht="24" customHeight="1">
      <x:c r="A10" s="16" t="str">
        <x:v>auto</x:v>
      </x:c>
      <x:c r="B10" s="18" t="n">
        <x:v>51</x:v>
      </x:c>
      <x:c r="C10" s="18" t="n">
        <x:v>3810630</x:v>
      </x:c>
      <x:c r="D10" s="18" t="n">
        <x:v>89073</x:v>
      </x:c>
      <x:c r="E10" s="18" t="n">
        <x:f>C10+D10</x:f>
        <x:v>3899703</x:v>
      </x:c>
      <x:c r="F10" s="20" t="n">
        <x:v>51</x:v>
      </x:c>
      <x:c r="G10" s="18" t="n">
        <x:v>1213</x:v>
      </x:c>
      <x:c r="H10" s="22" t="n">
        <x:f>E10/SUM($E$5:$E$19)</x:f>
        <x:v>0.042099686825726214</x:v>
      </x:c>
      <x:c r="I10" s="6"/>
      <x:c r="J10" s="6"/>
      <x:c r="K10" s="6"/>
      <x:c r="L10" s="6"/>
      <x:c r="M10" s="6"/>
      <x:c r="N10" s="6"/>
      <x:c r="O10" s="6"/>
      <x:c r="P10" s="6"/>
    </x:row>
    <x:row r="11" ht="24" customHeight="1">
      <x:c r="A11" s="16" t="str">
        <x:v>gpt-5.4-2026.03</x:v>
      </x:c>
      <x:c r="B11" s="18" t="n">
        <x:v>44</x:v>
      </x:c>
      <x:c r="C11" s="18" t="n">
        <x:v>6991884</x:v>
      </x:c>
      <x:c r="D11" s="18" t="n">
        <x:v>163435</x:v>
      </x:c>
      <x:c r="E11" s="18" t="n">
        <x:f>C11+D11</x:f>
        <x:v>7155319</x:v>
      </x:c>
      <x:c r="F11" s="20" t="n">
        <x:v>1188</x:v>
      </x:c>
      <x:c r="G11" s="18" t="n">
        <x:v>3733</x:v>
      </x:c>
      <x:c r="H11" s="22" t="n">
        <x:f>E11/SUM($E$5:$E$19)</x:f>
        <x:v>0.07724605926096641</x:v>
      </x:c>
      <x:c r="I11" s="6"/>
      <x:c r="J11" s="6"/>
      <x:c r="K11" s="6"/>
      <x:c r="L11" s="6"/>
      <x:c r="M11" s="6"/>
      <x:c r="N11" s="6"/>
      <x:c r="O11" s="6"/>
      <x:c r="P11" s="6"/>
    </x:row>
    <x:row r="12" ht="24" customHeight="1">
      <x:c r="A12" s="16" t="str">
        <x:v>claude-sonnet-4.7</x:v>
      </x:c>
      <x:c r="B12" s="18" t="n">
        <x:v>18</x:v>
      </x:c>
      <x:c r="C12" s="18" t="n">
        <x:v>725501</x:v>
      </x:c>
      <x:c r="D12" s="18" t="n">
        <x:v>16959</x:v>
      </x:c>
      <x:c r="E12" s="18" t="n">
        <x:f>C12+D12</x:f>
        <x:v>742460</x:v>
      </x:c>
      <x:c r="F12" s="20" t="n">
        <x:v>18</x:v>
      </x:c>
      <x:c r="G12" s="18" t="n">
        <x:v>264</x:v>
      </x:c>
      <x:c r="H12" s="22" t="n">
        <x:f>E12/SUM($E$5:$E$19)</x:f>
        <x:v>0.008015311289251691</x:v>
      </x:c>
      <x:c r="I12" s="6"/>
      <x:c r="J12" s="6"/>
      <x:c r="K12" s="6"/>
      <x:c r="L12" s="6"/>
      <x:c r="M12" s="6"/>
      <x:c r="N12" s="6"/>
      <x:c r="O12" s="6"/>
      <x:c r="P12" s="6"/>
    </x:row>
    <x:row r="13" ht="24" customHeight="1">
      <x:c r="A13" s="16" t="str">
        <x:v>custom-endpoint/local</x:v>
      </x:c>
      <x:c r="B13" s="18" t="n">
        <x:v>5</x:v>
      </x:c>
      <x:c r="C13" s="18" t="n">
        <x:v>83494</x:v>
      </x:c>
      <x:c r="D13" s="18" t="n">
        <x:v>1952</x:v>
      </x:c>
      <x:c r="E13" s="18" t="n">
        <x:f>C13+D13</x:f>
        <x:v>85446</x:v>
      </x:c>
      <x:c r="F13" s="20" t="n">
        <x:v>5</x:v>
      </x:c>
      <x:c r="G13" s="18" t="n">
        <x:v>0</x:v>
      </x:c>
      <x:c r="H13" s="22" t="n">
        <x:f>E13/SUM($E$5:$E$19)</x:f>
        <x:v>0.0009224420014834468</x:v>
      </x:c>
      <x:c r="I13" s="6"/>
      <x:c r="J13" s="6"/>
      <x:c r="K13" s="6"/>
      <x:c r="L13" s="6"/>
      <x:c r="M13" s="6"/>
      <x:c r="N13" s="6"/>
      <x:c r="O13" s="6"/>
      <x:c r="P13" s="6"/>
    </x:row>
    <x:row r="14" ht="24" customHeight="1">
      <x:c r="A14" s="16" t="str">
        <x:v>claude-fable-5</x:v>
      </x:c>
      <x:c r="B14" s="18" t="n">
        <x:v>4</x:v>
      </x:c>
      <x:c r="C14" s="18" t="n">
        <x:v>564281</x:v>
      </x:c>
      <x:c r="D14" s="18" t="n">
        <x:v>13190</x:v>
      </x:c>
      <x:c r="E14" s="18" t="n">
        <x:f>C14+D14</x:f>
        <x:v>577471</x:v>
      </x:c>
      <x:c r="F14" s="20" t="n">
        <x:v>4</x:v>
      </x:c>
      <x:c r="G14" s="18" t="n">
        <x:v>0</x:v>
      </x:c>
      <x:c r="H14" s="22" t="n">
        <x:f>E14/SUM($E$5:$E$19)</x:f>
        <x:v>0.006234153793491182</x:v>
      </x:c>
      <x:c r="I14" s="6"/>
      <x:c r="J14" s="6"/>
      <x:c r="K14" s="6"/>
      <x:c r="L14" s="6"/>
      <x:c r="M14" s="6"/>
      <x:c r="N14" s="6"/>
      <x:c r="O14" s="6"/>
      <x:c r="P14" s="6"/>
    </x:row>
    <x:row r="15" ht="24" customHeight="1">
      <x:c r="A15" s="16" t="str">
        <x:v>claude-opus-5</x:v>
      </x:c>
      <x:c r="B15" s="18" t="n">
        <x:v>2</x:v>
      </x:c>
      <x:c r="C15" s="18" t="n">
        <x:v>160112</x:v>
      </x:c>
      <x:c r="D15" s="18" t="n">
        <x:v>3743</x:v>
      </x:c>
      <x:c r="E15" s="18" t="n">
        <x:f>C15+D15</x:f>
        <x:v>163855</x:v>
      </x:c>
      <x:c r="F15" s="20" t="n">
        <x:v>108</x:v>
      </x:c>
      <x:c r="G15" s="18" t="n">
        <x:v>170</x:v>
      </x:c>
      <x:c r="H15" s="22" t="n">
        <x:f>E15/SUM($E$5:$E$19)</x:f>
        <x:v>0.001768915269913983</x:v>
      </x:c>
      <x:c r="I15" s="6"/>
      <x:c r="J15" s="6"/>
      <x:c r="K15" s="6"/>
      <x:c r="L15" s="6"/>
      <x:c r="M15" s="6"/>
      <x:c r="N15" s="6"/>
      <x:c r="O15" s="6"/>
      <x:c r="P15" s="6"/>
    </x:row>
    <x:row r="16" ht="24" customHeight="1">
      <x:c r="A16" s="16" t="str">
        <x:v>gpt-5.4-mini</x:v>
      </x:c>
      <x:c r="B16" s="18" t="n">
        <x:v>1</x:v>
      </x:c>
      <x:c r="C16" s="18" t="n">
        <x:v>39238</x:v>
      </x:c>
      <x:c r="D16" s="18" t="n">
        <x:v>917</x:v>
      </x:c>
      <x:c r="E16" s="18" t="n">
        <x:f>C16+D16</x:f>
        <x:v>40155</x:v>
      </x:c>
      <x:c r="F16" s="20" t="n">
        <x:v>1</x:v>
      </x:c>
      <x:c r="G16" s="18" t="n">
        <x:v>0</x:v>
      </x:c>
      <x:c r="H16" s="22" t="n">
        <x:f>E16/SUM($E$5:$E$19)</x:f>
        <x:v>0.00043349786496228975</x:v>
      </x:c>
      <x:c r="I16" s="6"/>
      <x:c r="J16" s="6"/>
      <x:c r="K16" s="6"/>
      <x:c r="L16" s="6"/>
      <x:c r="M16" s="6"/>
      <x:c r="N16" s="6"/>
      <x:c r="O16" s="6"/>
      <x:c r="P16" s="6"/>
    </x:row>
    <x:row r="17" ht="24" customHeight="1">
      <x:c r="A17" s="16" t="str">
        <x:v>claude-haiku-4.5</x:v>
      </x:c>
      <x:c r="B17" s="18" t="n">
        <x:v>1</x:v>
      </x:c>
      <x:c r="C17" s="18" t="n">
        <x:v>39606</x:v>
      </x:c>
      <x:c r="D17" s="18" t="n">
        <x:v>926</x:v>
      </x:c>
      <x:c r="E17" s="18" t="n">
        <x:f>C17+D17</x:f>
        <x:v>40532</x:v>
      </x:c>
      <x:c r="F17" s="20" t="n">
        <x:v>1</x:v>
      </x:c>
      <x:c r="G17" s="18" t="n">
        <x:v>0</x:v>
      </x:c>
      <x:c r="H17" s="22" t="n">
        <x:f>E17/SUM($E$5:$E$19)</x:f>
        <x:v>0.0004375678112975103</x:v>
      </x:c>
      <x:c r="I17" s="6"/>
      <x:c r="J17" s="6"/>
      <x:c r="K17" s="6"/>
      <x:c r="L17" s="6"/>
      <x:c r="M17" s="6"/>
      <x:c r="N17" s="6"/>
      <x:c r="O17" s="6"/>
      <x:c r="P17" s="6"/>
    </x:row>
    <x:row r="18" ht="24" customHeight="1">
      <x:c r="A18" s="16" t="str">
        <x:v>custom-endpoint/remote</x:v>
      </x:c>
      <x:c r="B18" s="18" t="n">
        <x:v>1</x:v>
      </x:c>
      <x:c r="C18" s="18" t="n">
        <x:v>170621</x:v>
      </x:c>
      <x:c r="D18" s="18" t="n">
        <x:v>3988</x:v>
      </x:c>
      <x:c r="E18" s="18" t="n">
        <x:f>C18+D18</x:f>
        <x:v>174609</x:v>
      </x:c>
      <x:c r="F18" s="20" t="n">
        <x:v>1</x:v>
      </x:c>
      <x:c r="G18" s="18" t="n">
        <x:v>178</x:v>
      </x:c>
      <x:c r="H18" s="22" t="n">
        <x:f>E18/SUM($E$5:$E$19)</x:f>
        <x:v>0.0018850112987971721</x:v>
      </x:c>
      <x:c r="I18" s="6"/>
      <x:c r="J18" s="6"/>
      <x:c r="K18" s="6"/>
      <x:c r="L18" s="6"/>
      <x:c r="M18" s="6"/>
      <x:c r="N18" s="6"/>
      <x:c r="O18" s="6"/>
      <x:c r="P18" s="6"/>
    </x:row>
    <x:row r="19" ht="24" customHeight="1">
      <x:c r="A19" s="16" t="str">
        <x:v>other</x:v>
      </x:c>
      <x:c r="B19" s="18" t="n">
        <x:v>1</x:v>
      </x:c>
      <x:c r="C19" s="18" t="n">
        <x:v>62448</x:v>
      </x:c>
      <x:c r="D19" s="18" t="n">
        <x:v>1460</x:v>
      </x:c>
      <x:c r="E19" s="18" t="n">
        <x:f>C19+D19</x:f>
        <x:v>63908</x:v>
      </x:c>
      <x:c r="F19" s="20" t="n">
        <x:v>1</x:v>
      </x:c>
      <x:c r="G19" s="18" t="n">
        <x:v>34</x:v>
      </x:c>
      <x:c r="H19" s="22" t="n">
        <x:f>E19/SUM($E$5:$E$19)</x:f>
        <x:v>0.0006899260753084302</x:v>
      </x:c>
      <x:c r="I19" s="6"/>
      <x:c r="J19" s="6"/>
      <x:c r="K19" s="6"/>
      <x:c r="L19" s="6"/>
      <x:c r="M19" s="6"/>
      <x:c r="N19" s="6"/>
      <x:c r="O19" s="6"/>
      <x:c r="P19" s="6"/>
    </x:row>
    <x:row r="20">
      <x:c r="A20" s="6"/>
      <x:c r="B20" s="6"/>
      <x:c r="C20" s="6"/>
      <x:c r="D20" s="6"/>
      <x:c r="E20" s="6"/>
      <x:c r="F20" s="6"/>
      <x:c r="G20" s="6"/>
      <x:c r="H20" s="6"/>
      <x:c r="I20" s="6"/>
      <x:c r="J20" s="6"/>
      <x:c r="K20" s="6"/>
      <x:c r="L20" s="6"/>
      <x:c r="M20" s="6"/>
      <x:c r="N20" s="6"/>
      <x:c r="O20" s="6"/>
      <x:c r="P20" s="6"/>
    </x:row>
    <x:row r="21" ht="28" customHeight="1">
      <x:c r="A21" s="24" t="str">
        <x:v>Total</x:v>
      </x:c>
      <x:c r="B21" s="26" t="n">
        <x:f>SUM(ModelsTable[Requests])</x:f>
        <x:v>2386</x:v>
      </x:c>
      <x:c r="C21" s="26" t="n">
        <x:f>SUM(ModelsTable[Prompt Tokens])</x:f>
        <x:v>90514441</x:v>
      </x:c>
      <x:c r="D21" s="26" t="n">
        <x:f>SUM(ModelsTable[Output Tokens])</x:f>
        <x:v>2115773</x:v>
      </x:c>
      <x:c r="E21" s="26" t="n">
        <x:f>SUM(ModelsTable[Tokens])</x:f>
        <x:v>92630214</x:v>
      </x:c>
      <x:c r="F21" s="28" t="n">
        <x:f>SUM(ModelsTable[Premium Units])</x:f>
        <x:v>6352</x:v>
      </x:c>
      <x:c r="G21" s="26" t="n">
        <x:f>SUM(ModelsTable[Credits])</x:f>
        <x:v>40470</x:v>
      </x:c>
      <x:c r="H21" s="30" t="n">
        <x:f>SUM(ModelsTable[Share])</x:f>
        <x:v>0.9999999999999999</x:v>
      </x:c>
      <x:c r="I21" s="6"/>
      <x:c r="J21" s="6"/>
      <x:c r="K21" s="6"/>
      <x:c r="L21" s="6"/>
      <x:c r="M21" s="6"/>
      <x:c r="N21" s="6"/>
      <x:c r="O21" s="6"/>
      <x:c r="P21" s="6"/>
    </x:row>
    <x:row r="22">
      <x:c r="A22" s="6"/>
      <x:c r="B22" s="6"/>
      <x:c r="C22" s="6"/>
      <x:c r="D22" s="6"/>
      <x:c r="E22" s="6"/>
      <x:c r="F22" s="6"/>
      <x:c r="G22" s="6"/>
      <x:c r="H22" s="6"/>
      <x:c r="I22" s="6"/>
      <x:c r="J22" s="6"/>
      <x:c r="K22" s="6"/>
      <x:c r="L22" s="6"/>
      <x:c r="M22" s="6"/>
      <x:c r="N22" s="6"/>
      <x:c r="O22" s="6"/>
      <x:c r="P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  <x:c r="J23" s="6"/>
      <x:c r="K23" s="6"/>
      <x:c r="L23" s="6"/>
      <x:c r="M23" s="6"/>
      <x:c r="N23" s="6"/>
      <x:c r="O23" s="6"/>
      <x:c r="P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  <x:c r="L24" s="6"/>
      <x:c r="M24" s="6"/>
      <x:c r="N24" s="6"/>
      <x:c r="O24" s="6"/>
      <x:c r="P24" s="6"/>
    </x:row>
    <x:row r="25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  <x:c r="L25" s="6"/>
      <x:c r="M25" s="6"/>
      <x:c r="N25" s="6"/>
      <x:c r="O25" s="6"/>
      <x:c r="P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6"/>
      <x:c r="P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  <x:c r="N31" s="6"/>
      <x:c r="O31" s="6"/>
      <x:c r="P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  <x:c r="M32" s="6"/>
      <x:c r="N32" s="6"/>
      <x:c r="O32" s="6"/>
      <x:c r="P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  <x:c r="N33" s="6"/>
      <x:c r="O33" s="6"/>
      <x:c r="P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  <x:c r="M34" s="6"/>
      <x:c r="N34" s="6"/>
      <x:c r="O34" s="6"/>
      <x:c r="P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  <x:c r="M35" s="6"/>
      <x:c r="N35" s="6"/>
      <x:c r="O35" s="6"/>
      <x:c r="P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</x:row>
  </x:sheetData>
  <x:mergeCells>
    <x:mergeCell ref="A1:H1"/>
    <x:mergeCell ref="A2:H2"/>
  </x:mergeCells>
  <x:conditionalFormatting sqref="H5:H19">
    <x:cfRule type="dataBar" priority="1">
      <x:dataBar>
        <x:cfvo type="min"/>
        <x:cfvo type="max"/>
        <x:color rgb="FF5B96BF"/>
      </x:dataBar>
      <x:extLst>
        <x:ext xmlns:x14="http://schemas.microsoft.com/office/spreadsheetml/2009/9/main" uri="{B025F937-C7B1-47D3-B67F-A62EFF666E3E}">
          <x14:id>{509BED65-8AEF-2D25-1039-0EA7B8708E8E}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942d6eb56a9f434a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509BED65-8AEF-2D25-1039-0EA7B8708E8E}">
            <x14:dataBar gradient="1">
              <x14:cfvo type="min"/>
              <x14:cfvo type="max"/>
              <x14:fillColor rgb="FF5B96BF"/>
            </x14:dataBar>
          </x14:cfRule>
          <xm:sqref>H5:H19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17" hidden="0" customWidth="1"/>
    <x:col min="5" max="5" width="17" hidden="0" customWidth="1"/>
    <x:col min="6" max="6" width="11" hidden="0" customWidth="1"/>
    <x:col min="7" max="7" width="15" hidden="0" customWidth="1"/>
    <x:col min="8" max="8" width="12" hidden="0" customWidth="1"/>
    <x:col min="9" max="9" width="22" hidden="0" customWidth="1"/>
  </x:cols>
  <x:sheetData>
    <x:row r="1" ht="34" customHeight="1">
      <x:c r="A1" s="8" t="str">
        <x:v>Repositories</x:v>
      </x:c>
      <x:c r="B1" s="8"/>
      <x:c r="C1" s="8"/>
      <x:c r="D1" s="8"/>
      <x:c r="E1" s="8"/>
      <x:c r="F1" s="8"/>
      <x:c r="G1" s="8"/>
      <x:c r="H1" s="8"/>
      <x:c r="I1" s="8"/>
      <x:c r="J1" s="6"/>
      <x:c r="K1" s="6"/>
      <x:c r="L1" s="6"/>
      <x:c r="M1" s="6"/>
      <x:c r="N1" s="6"/>
      <x:c r="O1" s="6"/>
      <x:c r="P1" s="6"/>
    </x:row>
    <x:row r="2" ht="22" customHeight="1">
      <x:c r="A2" s="10" t="str">
        <x:v>Attributed usage by repository. Fractional requests represent weighted attribution.</x:v>
      </x:c>
      <x:c r="B2" s="10"/>
      <x:c r="C2" s="10"/>
      <x:c r="D2" s="10"/>
      <x:c r="E2" s="10"/>
      <x:c r="F2" s="10"/>
      <x:c r="G2" s="10"/>
      <x:c r="H2" s="10"/>
      <x:c r="I2" s="10"/>
      <x:c r="J2" s="6"/>
      <x:c r="K2" s="6"/>
      <x:c r="L2" s="6"/>
      <x:c r="M2" s="6"/>
      <x:c r="N2" s="6"/>
      <x:c r="O2" s="6"/>
      <x:c r="P2" s="6"/>
    </x:row>
    <x:row r="3">
      <x:c r="A3" s="6"/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</x:row>
    <x:row r="4" ht="26" customHeight="1">
      <x:c r="A4" s="13" t="str">
        <x:v>Repository</x:v>
      </x:c>
      <x:c r="B4" s="13" t="str">
        <x:v>Attributed Requests</x:v>
      </x:c>
      <x:c r="C4" s="13" t="str">
        <x:v>Prompt Tokens</x:v>
      </x:c>
      <x:c r="D4" s="13" t="str">
        <x:v>Output Tokens</x:v>
      </x:c>
      <x:c r="E4" s="13" t="str">
        <x:v>Total Tokens</x:v>
      </x:c>
      <x:c r="F4" s="13" t="str">
        <x:v>Share</x:v>
      </x:c>
      <x:c r="G4" s="13" t="str">
        <x:v>Premium Units</x:v>
      </x:c>
      <x:c r="H4" s="13" t="str">
        <x:v>Credits</x:v>
      </x:c>
      <x:c r="I4" s="13" t="str">
        <x:v>Top Model</x:v>
      </x:c>
      <x:c r="J4" s="6"/>
      <x:c r="K4" s="6"/>
      <x:c r="L4" s="6"/>
      <x:c r="M4" s="6"/>
      <x:c r="N4" s="6"/>
      <x:c r="O4" s="6"/>
      <x:c r="P4" s="6"/>
    </x:row>
    <x:row r="5" ht="24" customHeight="1">
      <x:c r="A5" s="16" t="str">
        <x:v>Unattributed</x:v>
      </x:c>
      <x:c r="B5" s="32" t="n">
        <x:v>1027</x:v>
      </x:c>
      <x:c r="C5" s="32" t="n">
        <x:v>35832707</x:v>
      </x:c>
      <x:c r="D5" s="32" t="n">
        <x:v>1253181</x:v>
      </x:c>
      <x:c r="E5" s="32" t="n">
        <x:f>C5+D5</x:f>
        <x:v>37085888</x:v>
      </x:c>
      <x:c r="F5" s="22" t="n">
        <x:f>E5/SUM($E$5:$E$18)</x:f>
        <x:v>0.3958783438766418</x:v>
      </x:c>
      <x:c r="G5" s="20" t="n">
        <x:v>0</x:v>
      </x:c>
      <x:c r="H5" s="18" t="n">
        <x:v>0</x:v>
      </x:c>
      <x:c r="I5" s="16" t="str">
        <x:v>unknown</x:v>
      </x:c>
      <x:c r="J5" s="6"/>
      <x:c r="K5" s="6"/>
      <x:c r="L5" s="6"/>
      <x:c r="M5" s="6"/>
      <x:c r="N5" s="6"/>
      <x:c r="O5" s="6"/>
      <x:c r="P5" s="6"/>
    </x:row>
    <x:row r="6" ht="24" customHeight="1">
      <x:c r="A6" s="16" t="str">
        <x:v>SachiHarshitha/copilot-usage</x:v>
      </x:c>
      <x:c r="B6" s="32" t="n">
        <x:v>167</x:v>
      </x:c>
      <x:c r="C6" s="32" t="n">
        <x:v>12353220</x:v>
      </x:c>
      <x:c r="D6" s="32" t="n">
        <x:v>102845</x:v>
      </x:c>
      <x:c r="E6" s="32" t="n">
        <x:f>C6+D6</x:f>
        <x:v>12456065</x:v>
      </x:c>
      <x:c r="F6" s="22" t="n">
        <x:f>E6/SUM($E$5:$E$18)</x:f>
        <x:v>0.13647789085942652</x:v>
      </x:c>
      <x:c r="G6" s="20" t="n">
        <x:v>950</x:v>
      </x:c>
      <x:c r="H6" s="18" t="n">
        <x:v>5730</x:v>
      </x:c>
      <x:c r="I6" s="16" t="str">
        <x:v>gpt-5.3-codex</x:v>
      </x:c>
      <x:c r="J6" s="6"/>
      <x:c r="K6" s="6"/>
      <x:c r="L6" s="6"/>
      <x:c r="M6" s="6"/>
      <x:c r="N6" s="6"/>
      <x:c r="O6" s="6"/>
      <x:c r="P6" s="6"/>
    </x:row>
    <x:row r="7" ht="24" customHeight="1">
      <x:c r="A7" s="16" t="str">
        <x:v>llm-port/.github</x:v>
      </x:c>
      <x:c r="B7" s="32" t="n">
        <x:v>156.3</x:v>
      </x:c>
      <x:c r="C7" s="32" t="n">
        <x:v>9628482.6</x:v>
      </x:c>
      <x:c r="D7" s="32" t="n">
        <x:v>74384.9</x:v>
      </x:c>
      <x:c r="E7" s="32" t="n">
        <x:f>C7+D7</x:f>
        <x:v>9702867.5</x:v>
      </x:c>
      <x:c r="F7" s="22" t="n">
        <x:f>E7/SUM($E$5:$E$18)</x:f>
        <x:v>0.10637509875357902</x:v>
      </x:c>
      <x:c r="G7" s="20" t="n">
        <x:v>811</x:v>
      </x:c>
      <x:c r="H7" s="18" t="n">
        <x:v>4564</x:v>
      </x:c>
      <x:c r="I7" s="16" t="str">
        <x:v>claude-opus-4.6</x:v>
      </x:c>
      <x:c r="J7" s="6"/>
      <x:c r="K7" s="6"/>
      <x:c r="L7" s="6"/>
      <x:c r="M7" s="6"/>
      <x:c r="N7" s="6"/>
      <x:c r="O7" s="6"/>
      <x:c r="P7" s="6"/>
    </x:row>
    <x:row r="8" ht="24" customHeight="1">
      <x:c r="A8" s="16" t="str">
        <x:v>llm-port/llm-port-core</x:v>
      </x:c>
      <x:c r="B8" s="32" t="n">
        <x:v>79.9</x:v>
      </x:c>
      <x:c r="C8" s="32" t="n">
        <x:v>5936417.9</x:v>
      </x:c>
      <x:c r="D8" s="32" t="n">
        <x:v>10151.9</x:v>
      </x:c>
      <x:c r="E8" s="32" t="n">
        <x:f>C8+D8</x:f>
        <x:v>5946569.800000001</x:v>
      </x:c>
      <x:c r="F8" s="22" t="n">
        <x:f>E8/SUM($E$5:$E$18)</x:f>
        <x:v>0.06558531251383413</x:v>
      </x:c>
      <x:c r="G8" s="20" t="n">
        <x:v>520</x:v>
      </x:c>
      <x:c r="H8" s="18" t="n">
        <x:v>2834</x:v>
      </x:c>
      <x:c r="I8" s="16" t="str">
        <x:v>claude-opus-4.6</x:v>
      </x:c>
      <x:c r="J8" s="6"/>
      <x:c r="K8" s="6"/>
      <x:c r="L8" s="6"/>
      <x:c r="M8" s="6"/>
      <x:c r="N8" s="6"/>
      <x:c r="O8" s="6"/>
      <x:c r="P8" s="6"/>
    </x:row>
    <x:row r="9" ht="24" customHeight="1">
      <x:c r="A9" s="16" t="str">
        <x:v>SachiHarshitha/copilot-usage-tools</x:v>
      </x:c>
      <x:c r="B9" s="32" t="n">
        <x:v>29.9</x:v>
      </x:c>
      <x:c r="C9" s="32" t="n">
        <x:v>4419910.6</x:v>
      </x:c>
      <x:c r="D9" s="32" t="n">
        <x:v>56332.1</x:v>
      </x:c>
      <x:c r="E9" s="32" t="n">
        <x:f>C9+D9</x:f>
        <x:v>4476242.699999999</x:v>
      </x:c>
      <x:c r="F9" s="22" t="n">
        <x:f>E9/SUM($E$5:$E$18)</x:f>
        <x:v>0.048830999243535074</x:v>
      </x:c>
      <x:c r="G9" s="20" t="n">
        <x:v>340</x:v>
      </x:c>
      <x:c r="H9" s="18" t="n">
        <x:v>1980</x:v>
      </x:c>
      <x:c r="I9" s="16" t="str">
        <x:v>claude-opus-4.8</x:v>
      </x:c>
      <x:c r="J9" s="6"/>
      <x:c r="K9" s="6"/>
      <x:c r="L9" s="6"/>
      <x:c r="M9" s="6"/>
      <x:c r="N9" s="6"/>
      <x:c r="O9" s="6"/>
      <x:c r="P9" s="6"/>
    </x:row>
    <x:row r="10" ht="24" customHeight="1">
      <x:c r="A10" s="16" t="str">
        <x:v>llm-port/llm-port-dev</x:v>
      </x:c>
      <x:c r="B10" s="32" t="n">
        <x:v>55.1</x:v>
      </x:c>
      <x:c r="C10" s="32" t="n">
        <x:v>3186626.8</x:v>
      </x:c>
      <x:c r="D10" s="32" t="n">
        <x:v>20689.9</x:v>
      </x:c>
      <x:c r="E10" s="32" t="n">
        <x:f>C10+D10</x:f>
        <x:v>3207316.6999999997</x:v>
      </x:c>
      <x:c r="F10" s="22" t="n">
        <x:f>E10/SUM($E$5:$E$18)</x:f>
        <x:v>0.03520572811138502</x:v>
      </x:c>
      <x:c r="G10" s="20" t="n">
        <x:v>287</x:v>
      </x:c>
      <x:c r="H10" s="18" t="n">
        <x:v>1460</x:v>
      </x:c>
      <x:c r="I10" s="16" t="str">
        <x:v>claude-opus-4.6</x:v>
      </x:c>
      <x:c r="J10" s="6"/>
      <x:c r="K10" s="6"/>
      <x:c r="L10" s="6"/>
      <x:c r="M10" s="6"/>
      <x:c r="N10" s="6"/>
      <x:c r="O10" s="6"/>
      <x:c r="P10" s="6"/>
    </x:row>
    <x:row r="11" ht="24" customHeight="1">
      <x:c r="A11" s="16" t="str">
        <x:v>llm-port/mcp-server-searxng</x:v>
      </x:c>
      <x:c r="B11" s="32" t="n">
        <x:v>47.3</x:v>
      </x:c>
      <x:c r="C11" s="32" t="n">
        <x:v>2443947.1</x:v>
      </x:c>
      <x:c r="D11" s="32" t="n">
        <x:v>14104.6</x:v>
      </x:c>
      <x:c r="E11" s="32" t="n">
        <x:f>C11+D11</x:f>
        <x:v>2458051.7</x:v>
      </x:c>
      <x:c r="F11" s="22" t="n">
        <x:f>E11/SUM($E$5:$E$18)</x:f>
        <x:v>0.027000631866024565</x:v>
      </x:c>
      <x:c r="G11" s="20" t="n">
        <x:v>250</x:v>
      </x:c>
      <x:c r="H11" s="18" t="n">
        <x:v>1210</x:v>
      </x:c>
      <x:c r="I11" s="16" t="str">
        <x:v>gpt-5.3-codex</x:v>
      </x:c>
      <x:c r="J11" s="6"/>
      <x:c r="K11" s="6"/>
      <x:c r="L11" s="6"/>
      <x:c r="M11" s="6"/>
      <x:c r="N11" s="6"/>
      <x:c r="O11" s="6"/>
      <x:c r="P11" s="6"/>
    </x:row>
    <x:row r="12" ht="24" customHeight="1">
      <x:c r="A12" s="16" t="str">
        <x:v>llm-port/mcp-server-brave</x:v>
      </x:c>
      <x:c r="B12" s="32" t="n">
        <x:v>46.3</x:v>
      </x:c>
      <x:c r="C12" s="32" t="n">
        <x:v>2443005</x:v>
      </x:c>
      <x:c r="D12" s="32" t="n">
        <x:v>14104.6</x:v>
      </x:c>
      <x:c r="E12" s="32" t="n">
        <x:f>C12+D12</x:f>
        <x:v>2457109.6</x:v>
      </x:c>
      <x:c r="F12" s="22" t="n">
        <x:f>E12/SUM($E$5:$E$18)</x:f>
        <x:v>0.02699022358211327</x:v>
      </x:c>
      <x:c r="G12" s="20" t="n">
        <x:v>246</x:v>
      </x:c>
      <x:c r="H12" s="18" t="n">
        <x:v>1197</x:v>
      </x:c>
      <x:c r="I12" s="16" t="str">
        <x:v>gpt-5.3-codex</x:v>
      </x:c>
      <x:c r="J12" s="6"/>
      <x:c r="K12" s="6"/>
      <x:c r="L12" s="6"/>
      <x:c r="M12" s="6"/>
      <x:c r="N12" s="6"/>
      <x:c r="O12" s="6"/>
      <x:c r="P12" s="6"/>
    </x:row>
    <x:row r="13" ht="24" customHeight="1">
      <x:c r="A13" s="16" t="str">
        <x:v>emagin8/career_skills_engine</x:v>
      </x:c>
      <x:c r="B13" s="32" t="n">
        <x:v>33.3</x:v>
      </x:c>
      <x:c r="C13" s="32" t="n">
        <x:v>2082249.7</x:v>
      </x:c>
      <x:c r="D13" s="32" t="n">
        <x:v>18695.8</x:v>
      </x:c>
      <x:c r="E13" s="32" t="n">
        <x:f>C13+D13</x:f>
        <x:v>2100945.5</x:v>
      </x:c>
      <x:c r="F13" s="22" t="n">
        <x:f>E13/SUM($E$5:$E$18)</x:f>
        <x:v>0.023004613153386214</x:v>
      </x:c>
      <x:c r="G13" s="20" t="n">
        <x:v>230</x:v>
      </x:c>
      <x:c r="H13" s="18" t="n">
        <x:v>1100</x:v>
      </x:c>
      <x:c r="I13" s="16" t="str">
        <x:v>claude-opus-4.6</x:v>
      </x:c>
      <x:c r="J13" s="6"/>
      <x:c r="K13" s="6"/>
      <x:c r="L13" s="6"/>
      <x:c r="M13" s="6"/>
      <x:c r="N13" s="6"/>
      <x:c r="O13" s="6"/>
      <x:c r="P13" s="6"/>
    </x:row>
    <x:row r="14" ht="24" customHeight="1">
      <x:c r="A14" s="16" t="str">
        <x:v>emagin8/career-path-frontend</x:v>
      </x:c>
      <x:c r="B14" s="32" t="n">
        <x:v>26.2</x:v>
      </x:c>
      <x:c r="C14" s="32" t="n">
        <x:v>1659623.1</x:v>
      </x:c>
      <x:c r="D14" s="32" t="n">
        <x:v>21338.5</x:v>
      </x:c>
      <x:c r="E14" s="32" t="n">
        <x:f>C14+D14</x:f>
        <x:v>1680961.6</x:v>
      </x:c>
      <x:c r="F14" s="22" t="n">
        <x:f>E14/SUM($E$5:$E$18)</x:f>
        <x:v>0.018335451024881218</x:v>
      </x:c>
      <x:c r="G14" s="20" t="n">
        <x:v>180</x:v>
      </x:c>
      <x:c r="H14" s="18" t="n">
        <x:v>820</x:v>
      </x:c>
      <x:c r="I14" s="16" t="str">
        <x:v>claude-opus-4.6</x:v>
      </x:c>
      <x:c r="J14" s="6"/>
      <x:c r="K14" s="6"/>
      <x:c r="L14" s="6"/>
      <x:c r="M14" s="6"/>
      <x:c r="N14" s="6"/>
      <x:c r="O14" s="6"/>
      <x:c r="P14" s="6"/>
    </x:row>
    <x:row r="15" ht="24" customHeight="1">
      <x:c r="A15" s="16" t="str">
        <x:v>emagin8/career_backend</x:v>
      </x:c>
      <x:c r="B15" s="32" t="n">
        <x:v>23.1</x:v>
      </x:c>
      <x:c r="C15" s="32" t="n">
        <x:v>1546448.8</x:v>
      </x:c>
      <x:c r="D15" s="32" t="n">
        <x:v>24666.5</x:v>
      </x:c>
      <x:c r="E15" s="32" t="n">
        <x:f>C15+D15</x:f>
        <x:v>1571115.3</x:v>
      </x:c>
      <x:c r="F15" s="22" t="n">
        <x:f>E15/SUM($E$5:$E$18)</x:f>
        <x:v>0.017085105789914786</x:v>
      </x:c>
      <x:c r="G15" s="20" t="n">
        <x:v>170</x:v>
      </x:c>
      <x:c r="H15" s="18" t="n">
        <x:v>780</x:v>
      </x:c>
      <x:c r="I15" s="16" t="str">
        <x:v>claude-opus-4.6</x:v>
      </x:c>
      <x:c r="J15" s="6"/>
      <x:c r="K15" s="6"/>
      <x:c r="L15" s="6"/>
      <x:c r="M15" s="6"/>
      <x:c r="N15" s="6"/>
      <x:c r="O15" s="6"/>
      <x:c r="P15" s="6"/>
    </x:row>
    <x:row r="16" ht="24" customHeight="1">
      <x:c r="A16" s="16" t="str">
        <x:v>SachiHarshitha/promptstreak</x:v>
      </x:c>
      <x:c r="B16" s="32" t="n">
        <x:v>9.1</x:v>
      </x:c>
      <x:c r="C16" s="32" t="n">
        <x:v>1261872.4</x:v>
      </x:c>
      <x:c r="D16" s="32" t="n">
        <x:v>14942.9</x:v>
      </x:c>
      <x:c r="E16" s="32" t="n">
        <x:f>C16+D16</x:f>
        <x:v>1276815.2999999998</x:v>
      </x:c>
      <x:c r="F16" s="22" t="n">
        <x:f>E16/SUM($E$5:$E$18)</x:f>
        <x:v>0.013941116865539721</x:v>
      </x:c>
      <x:c r="G16" s="20" t="n">
        <x:v>142</x:v>
      </x:c>
      <x:c r="H16" s="18" t="n">
        <x:v>632</x:v>
      </x:c>
      <x:c r="I16" s="16" t="str">
        <x:v>claude-opus-4.8</x:v>
      </x:c>
      <x:c r="J16" s="6"/>
      <x:c r="K16" s="6"/>
      <x:c r="L16" s="6"/>
      <x:c r="M16" s="6"/>
      <x:c r="N16" s="6"/>
      <x:c r="O16" s="6"/>
      <x:c r="P16" s="6"/>
    </x:row>
    <x:row r="17" ht="24" customHeight="1">
      <x:c r="A17" s="16" t="str">
        <x:v>llm-port/github.io</x:v>
      </x:c>
      <x:c r="B17" s="32" t="n">
        <x:v>19.4</x:v>
      </x:c>
      <x:c r="C17" s="32" t="n">
        <x:v>1222643</x:v>
      </x:c>
      <x:c r="D17" s="32" t="n">
        <x:v>11445.9</x:v>
      </x:c>
      <x:c r="E17" s="32" t="n">
        <x:f>C17+D17</x:f>
        <x:v>1234088.9</x:v>
      </x:c>
      <x:c r="F17" s="22" t="n">
        <x:f>E17/SUM($E$5:$E$18)</x:f>
        <x:v>0.013507711990399412</x:v>
      </x:c>
      <x:c r="G17" s="20" t="n">
        <x:v>120</x:v>
      </x:c>
      <x:c r="H17" s="18" t="n">
        <x:v>580</x:v>
      </x:c>
      <x:c r="I17" s="16" t="str">
        <x:v>claude-opus-4.6</x:v>
      </x:c>
      <x:c r="J17" s="6"/>
      <x:c r="K17" s="6"/>
      <x:c r="L17" s="6"/>
      <x:c r="M17" s="6"/>
      <x:c r="N17" s="6"/>
      <x:c r="O17" s="6"/>
      <x:c r="P17" s="6"/>
    </x:row>
    <x:row r="18" ht="24" customHeight="1">
      <x:c r="A18" s="16" t="str">
        <x:v>Other repositories</x:v>
      </x:c>
      <x:c r="B18" s="32" t="n">
        <x:v>666.1</x:v>
      </x:c>
      <x:c r="C18" s="32" t="n">
        <x:v>6497287</x:v>
      </x:c>
      <x:c r="D18" s="32" t="n">
        <x:v>478889.4</x:v>
      </x:c>
      <x:c r="E18" s="32" t="n">
        <x:f>C18+D18</x:f>
        <x:v>6976176.4</x:v>
      </x:c>
      <x:c r="F18" s="22" t="n">
        <x:f>E18/SUM($E$5:$E$18)</x:f>
        <x:v>0.0717817723693394</x:v>
      </x:c>
      <x:c r="G18" s="20" t="n">
        <x:v>2106</x:v>
      </x:c>
      <x:c r="H18" s="18" t="n">
        <x:v>13583</x:v>
      </x:c>
      <x:c r="I18" s="16" t="str">
        <x:v>mixed</x:v>
      </x:c>
      <x:c r="J18" s="6"/>
      <x:c r="K18" s="6"/>
      <x:c r="L18" s="6"/>
      <x:c r="M18" s="6"/>
      <x:c r="N18" s="6"/>
      <x:c r="O18" s="6"/>
      <x:c r="P18" s="6"/>
    </x:row>
    <x:row r="19">
      <x:c r="A19" s="6"/>
      <x:c r="B19" s="6"/>
      <x:c r="C19" s="6"/>
      <x:c r="D19" s="6"/>
      <x:c r="E19" s="6"/>
      <x:c r="F19" s="6"/>
      <x:c r="G19" s="6"/>
      <x:c r="H19" s="6"/>
      <x:c r="I19" s="6"/>
      <x:c r="J19" s="6"/>
      <x:c r="K19" s="6"/>
      <x:c r="L19" s="6"/>
      <x:c r="M19" s="6"/>
      <x:c r="N19" s="6"/>
      <x:c r="O19" s="6"/>
      <x:c r="P19" s="6"/>
    </x:row>
    <x:row r="20" ht="28" customHeight="1">
      <x:c r="A20" s="24" t="str">
        <x:v>Total</x:v>
      </x:c>
      <x:c r="B20" s="34" t="n">
        <x:f>SUM(ReposTable[Attributed Requests])</x:f>
        <x:v>2386</x:v>
      </x:c>
      <x:c r="C20" s="34" t="n">
        <x:f>SUM(ReposTable[Prompt Tokens])</x:f>
        <x:v>90514440.99999999</x:v>
      </x:c>
      <x:c r="D20" s="34" t="n">
        <x:f>SUM(ReposTable[Output Tokens])</x:f>
        <x:v>2115773</x:v>
      </x:c>
      <x:c r="E20" s="34" t="n">
        <x:f>SUM(ReposTable[Total Tokens])</x:f>
        <x:v>92630214</x:v>
      </x:c>
      <x:c r="F20" s="30" t="n">
        <x:f>SUM(ReposTable[Share])</x:f>
        <x:v>0.9999999999999999</x:v>
      </x:c>
      <x:c r="G20" s="28" t="n">
        <x:f>SUM(ReposTable[Premium Units])</x:f>
        <x:v>6352</x:v>
      </x:c>
      <x:c r="H20" s="26" t="n">
        <x:f>SUM(ReposTable[Credits])</x:f>
        <x:v>36470</x:v>
      </x:c>
      <x:c r="I20" s="24"/>
      <x:c r="J20" s="6"/>
      <x:c r="K20" s="6"/>
      <x:c r="L20" s="6"/>
      <x:c r="M20" s="6"/>
      <x:c r="N20" s="6"/>
      <x:c r="O20" s="6"/>
      <x:c r="P20" s="6"/>
    </x:row>
    <x:row r="21">
      <x:c r="A21" s="6"/>
      <x:c r="B21" s="6"/>
      <x:c r="C21" s="6"/>
      <x:c r="D21" s="6"/>
      <x:c r="E21" s="6"/>
      <x:c r="F21" s="6"/>
      <x:c r="G21" s="6"/>
      <x:c r="H21" s="6"/>
      <x:c r="I21" s="6"/>
      <x:c r="J21" s="6"/>
      <x:c r="K21" s="6"/>
      <x:c r="L21" s="6"/>
      <x:c r="M21" s="6"/>
      <x:c r="N21" s="6"/>
      <x:c r="O21" s="6"/>
      <x:c r="P21" s="6"/>
    </x:row>
    <x:row r="22">
      <x:c r="A22" s="6"/>
      <x:c r="B22" s="6"/>
      <x:c r="C22" s="6"/>
      <x:c r="D22" s="6"/>
      <x:c r="E22" s="6"/>
      <x:c r="F22" s="6"/>
      <x:c r="G22" s="6"/>
      <x:c r="H22" s="6"/>
      <x:c r="I22" s="6"/>
      <x:c r="J22" s="6"/>
      <x:c r="K22" s="6"/>
      <x:c r="L22" s="6"/>
      <x:c r="M22" s="6"/>
      <x:c r="N22" s="6"/>
      <x:c r="O22" s="6"/>
      <x:c r="P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  <x:c r="J23" s="6"/>
      <x:c r="K23" s="6"/>
      <x:c r="L23" s="6"/>
      <x:c r="M23" s="6"/>
      <x:c r="N23" s="6"/>
      <x:c r="O23" s="6"/>
      <x:c r="P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  <x:c r="L24" s="6"/>
      <x:c r="M24" s="6"/>
      <x:c r="N24" s="6"/>
      <x:c r="O24" s="6"/>
      <x:c r="P24" s="6"/>
    </x:row>
    <x:row r="25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  <x:c r="L25" s="6"/>
      <x:c r="M25" s="6"/>
      <x:c r="N25" s="6"/>
      <x:c r="O25" s="6"/>
      <x:c r="P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6"/>
      <x:c r="P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  <x:c r="N31" s="6"/>
      <x:c r="O31" s="6"/>
      <x:c r="P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  <x:c r="M32" s="6"/>
      <x:c r="N32" s="6"/>
      <x:c r="O32" s="6"/>
      <x:c r="P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  <x:c r="N33" s="6"/>
      <x:c r="O33" s="6"/>
      <x:c r="P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  <x:c r="M34" s="6"/>
      <x:c r="N34" s="6"/>
      <x:c r="O34" s="6"/>
      <x:c r="P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  <x:c r="M35" s="6"/>
      <x:c r="N35" s="6"/>
      <x:c r="O35" s="6"/>
      <x:c r="P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</x:row>
  </x:sheetData>
  <x:mergeCells>
    <x:mergeCell ref="A1:I1"/>
    <x:mergeCell ref="A2:I2"/>
  </x:mergeCells>
  <x:conditionalFormatting sqref="F5:F18">
    <x:cfRule type="dataBar" priority="1">
      <x:dataBar>
        <x:cfvo type="min"/>
        <x:cfvo type="max"/>
        <x:color rgb="FF8558C9"/>
      </x:dataBar>
      <x:extLst>
        <x:ext xmlns:x14="http://schemas.microsoft.com/office/spreadsheetml/2009/9/main" uri="{B025F937-C7B1-47D3-B67F-A62EFF666E3E}">
          <x14:id>{D6B9C02A-5C94-D931-3F04-E8F7BE50987D}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a87223ecea9e4ea3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D6B9C02A-5C94-D931-3F04-E8F7BE50987D}">
            <x14:dataBar gradient="1">
              <x14:cfvo type="min"/>
              <x14:cfvo type="max"/>
              <x14:fillColor rgb="FF8558C9"/>
            </x14:dataBar>
          </x14:cfRule>
          <xm:sqref>F5:F18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12" hidden="0" customWidth="1"/>
    <x:col min="3" max="3" width="17" hidden="0" customWidth="1"/>
    <x:col min="4" max="4" width="17" hidden="0" customWidth="1"/>
    <x:col min="5" max="5" width="16" hidden="0" customWidth="1"/>
    <x:col min="6" max="6" width="15" hidden="0" customWidth="1"/>
    <x:col min="7" max="7" width="12" hidden="0" customWidth="1"/>
    <x:col min="8" max="8" width="22" hidden="0" customWidth="1"/>
    <x:col min="9" max="9" width="12" hidden="0" customWidth="1"/>
  </x:cols>
  <x:sheetData>
    <x:row r="1" ht="34" customHeight="1">
      <x:c r="A1" s="8" t="str">
        <x:v>Workspaces</x:v>
      </x:c>
      <x:c r="B1" s="8"/>
      <x:c r="C1" s="8"/>
      <x:c r="D1" s="8"/>
      <x:c r="E1" s="8"/>
      <x:c r="F1" s="8"/>
      <x:c r="G1" s="8"/>
      <x:c r="H1" s="8"/>
      <x:c r="I1" s="8"/>
      <x:c r="J1" s="6"/>
      <x:c r="K1" s="6"/>
      <x:c r="L1" s="6"/>
      <x:c r="M1" s="6"/>
      <x:c r="N1" s="6"/>
      <x:c r="O1" s="6"/>
      <x:c r="P1" s="6"/>
    </x:row>
    <x:row r="2" ht="22" customHeight="1">
      <x:c r="A2" s="10" t="str">
        <x:v>Workspace-level usage. Sample paths are shortened to demonstrate the privacy-friendly export.</x:v>
      </x:c>
      <x:c r="B2" s="10"/>
      <x:c r="C2" s="10"/>
      <x:c r="D2" s="10"/>
      <x:c r="E2" s="10"/>
      <x:c r="F2" s="10"/>
      <x:c r="G2" s="10"/>
      <x:c r="H2" s="10"/>
      <x:c r="I2" s="10"/>
      <x:c r="J2" s="6"/>
      <x:c r="K2" s="6"/>
      <x:c r="L2" s="6"/>
      <x:c r="M2" s="6"/>
      <x:c r="N2" s="6"/>
      <x:c r="O2" s="6"/>
      <x:c r="P2" s="6"/>
    </x:row>
    <x:row r="3">
      <x:c r="A3" s="6"/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</x:row>
    <x:row r="4" ht="26" customHeight="1">
      <x:c r="A4" s="13" t="str">
        <x:v>Workspace</x:v>
      </x:c>
      <x:c r="B4" s="13" t="str">
        <x:v>Requests</x:v>
      </x:c>
      <x:c r="C4" s="13" t="str">
        <x:v>Prompt Tokens</x:v>
      </x:c>
      <x:c r="D4" s="13" t="str">
        <x:v>Output Tokens</x:v>
      </x:c>
      <x:c r="E4" s="13" t="str">
        <x:v>Total Tokens</x:v>
      </x:c>
      <x:c r="F4" s="13" t="str">
        <x:v>Premium Units</x:v>
      </x:c>
      <x:c r="G4" s="13" t="str">
        <x:v>Credits</x:v>
      </x:c>
      <x:c r="H4" s="13" t="str">
        <x:v>Top Model</x:v>
      </x:c>
      <x:c r="I4" s="13" t="str">
        <x:v>Token Share</x:v>
      </x:c>
      <x:c r="J4" s="6"/>
      <x:c r="K4" s="6"/>
      <x:c r="L4" s="6"/>
      <x:c r="M4" s="6"/>
      <x:c r="N4" s="6"/>
      <x:c r="O4" s="6"/>
      <x:c r="P4" s="6"/>
    </x:row>
    <x:row r="5" ht="24" customHeight="1">
      <x:c r="A5" s="36" t="str">
        <x:v>…/llm-port/llm-port.code-workspace</x:v>
      </x:c>
      <x:c r="B5" s="18" t="n">
        <x:v>688</x:v>
      </x:c>
      <x:c r="C5" s="18" t="n">
        <x:v>42241974</x:v>
      </x:c>
      <x:c r="D5" s="18" t="n">
        <x:v>282511</x:v>
      </x:c>
      <x:c r="E5" s="18" t="n">
        <x:f>C5+D5</x:f>
        <x:v>42524485</x:v>
      </x:c>
      <x:c r="F5" s="20" t="n">
        <x:v>1844</x:v>
      </x:c>
      <x:c r="G5" s="18" t="n">
        <x:v>19968</x:v>
      </x:c>
      <x:c r="H5" s="16" t="str">
        <x:v>claude-opus-4.6</x:v>
      </x:c>
      <x:c r="I5" s="22" t="n">
        <x:f>E5/SUM($E$5:$E$34)</x:f>
        <x:v>0.45907790950369604</x:v>
      </x:c>
      <x:c r="J5" s="6"/>
      <x:c r="K5" s="6"/>
      <x:c r="L5" s="6"/>
      <x:c r="M5" s="6"/>
      <x:c r="N5" s="6"/>
      <x:c r="O5" s="6"/>
      <x:c r="P5" s="6"/>
    </x:row>
    <x:row r="6" ht="24" customHeight="1">
      <x:c r="A6" s="36" t="str">
        <x:v>…/1766411014783/workspace.json</x:v>
      </x:c>
      <x:c r="B6" s="18" t="n">
        <x:v>347</x:v>
      </x:c>
      <x:c r="C6" s="18" t="n">
        <x:v>162296</x:v>
      </x:c>
      <x:c r="D6" s="18" t="n">
        <x:v>236787</x:v>
      </x:c>
      <x:c r="E6" s="18" t="n">
        <x:f>C6+D6</x:f>
        <x:v>399083</x:v>
      </x:c>
      <x:c r="F6" s="20" t="n">
        <x:v>144</x:v>
      </x:c>
      <x:c r="G6" s="18" t="n">
        <x:v>0</x:v>
      </x:c>
      <x:c r="H6" s="16" t="str">
        <x:v>auto</x:v>
      </x:c>
      <x:c r="I6" s="22" t="n">
        <x:f>E6/SUM($E$5:$E$34)</x:f>
        <x:v>0.004308345870819213</x:v>
      </x:c>
      <x:c r="J6" s="6"/>
      <x:c r="K6" s="6"/>
      <x:c r="L6" s="6"/>
      <x:c r="M6" s="6"/>
      <x:c r="N6" s="6"/>
      <x:c r="O6" s="6"/>
      <x:c r="P6" s="6"/>
    </x:row>
    <x:row r="7" ht="24" customHeight="1">
      <x:c r="A7" s="36" t="str">
        <x:v>…/10_Repo/Emagin8.e2ee</x:v>
      </x:c>
      <x:c r="B7" s="18" t="n">
        <x:v>296</x:v>
      </x:c>
      <x:c r="C7" s="18" t="n">
        <x:v>127706</x:v>
      </x:c>
      <x:c r="D7" s="18" t="n">
        <x:v>239619</x:v>
      </x:c>
      <x:c r="E7" s="18" t="n">
        <x:f>C7+D7</x:f>
        <x:v>367325</x:v>
      </x:c>
      <x:c r="F7" s="20" t="n">
        <x:v>296</x:v>
      </x:c>
      <x:c r="G7" s="18" t="n">
        <x:v>0</x:v>
      </x:c>
      <x:c r="H7" s="16" t="str">
        <x:v>unknown</x:v>
      </x:c>
      <x:c r="I7" s="22" t="n">
        <x:f>E7/SUM($E$5:$E$34)</x:f>
        <x:v>0.003965498773434767</x:v>
      </x:c>
      <x:c r="J7" s="6"/>
      <x:c r="K7" s="6"/>
      <x:c r="L7" s="6"/>
      <x:c r="M7" s="6"/>
      <x:c r="N7" s="6"/>
      <x:c r="O7" s="6"/>
      <x:c r="P7" s="6"/>
    </x:row>
    <x:row r="8" ht="24" customHeight="1">
      <x:c r="A8" s="36" t="str">
        <x:v>…/101_CodeProjects/copilot-token-estimator</x:v>
      </x:c>
      <x:c r="B8" s="18" t="n">
        <x:v>198</x:v>
      </x:c>
      <x:c r="C8" s="18" t="n">
        <x:v>16272487</x:v>
      </x:c>
      <x:c r="D8" s="18" t="n">
        <x:v>144614</x:v>
      </x:c>
      <x:c r="E8" s="18" t="n">
        <x:f>C8+D8</x:f>
        <x:v>16417101</x:v>
      </x:c>
      <x:c r="F8" s="20" t="n">
        <x:v>1778</x:v>
      </x:c>
      <x:c r="G8" s="18" t="n">
        <x:v>7345</x:v>
      </x:c>
      <x:c r="H8" s="16" t="str">
        <x:v>gpt-5.3-codex</x:v>
      </x:c>
      <x:c r="I8" s="22" t="n">
        <x:f>E8/SUM($E$5:$E$34)</x:f>
        <x:v>0.1772326791774442</x:v>
      </x:c>
      <x:c r="J8" s="6"/>
      <x:c r="K8" s="6"/>
      <x:c r="L8" s="6"/>
      <x:c r="M8" s="6"/>
      <x:c r="N8" s="6"/>
      <x:c r="O8" s="6"/>
      <x:c r="P8" s="6"/>
    </x:row>
    <x:row r="9" ht="24" customHeight="1">
      <x:c r="A9" s="36" t="str">
        <x:v>…/1777616611188/workspace.json</x:v>
      </x:c>
      <x:c r="B9" s="18" t="n">
        <x:v>149</x:v>
      </x:c>
      <x:c r="C9" s="18" t="n">
        <x:v>11042365</x:v>
      </x:c>
      <x:c r="D9" s="18" t="n">
        <x:v>738723</x:v>
      </x:c>
      <x:c r="E9" s="18" t="n">
        <x:f>C9+D9</x:f>
        <x:v>11781088</x:v>
      </x:c>
      <x:c r="F9" s="20" t="n">
        <x:v>671</x:v>
      </x:c>
      <x:c r="G9" s="18" t="n">
        <x:v>3894</x:v>
      </x:c>
      <x:c r="H9" s="16" t="str">
        <x:v>gpt-5.3-codex</x:v>
      </x:c>
      <x:c r="I9" s="22" t="n">
        <x:f>E9/SUM($E$5:$E$34)</x:f>
        <x:v>0.12718407408623714</x:v>
      </x:c>
      <x:c r="J9" s="6"/>
      <x:c r="K9" s="6"/>
      <x:c r="L9" s="6"/>
      <x:c r="M9" s="6"/>
      <x:c r="N9" s="6"/>
      <x:c r="O9" s="6"/>
      <x:c r="P9" s="6"/>
    </x:row>
    <x:row r="10" ht="24" customHeight="1">
      <x:c r="A10" s="36" t="str">
        <x:v>…/101_CodeProjects/expat-report-backend</x:v>
      </x:c>
      <x:c r="B10" s="18" t="n">
        <x:v>134</x:v>
      </x:c>
      <x:c r="C10" s="18" t="n">
        <x:v>149304</x:v>
      </x:c>
      <x:c r="D10" s="18" t="n">
        <x:v>82461</x:v>
      </x:c>
      <x:c r="E10" s="18" t="n">
        <x:f>C10+D10</x:f>
        <x:v>231765</x:v>
      </x:c>
      <x:c r="F10" s="20" t="n">
        <x:v>134</x:v>
      </x:c>
      <x:c r="G10" s="18" t="n">
        <x:v>0</x:v>
      </x:c>
      <x:c r="H10" s="16" t="str">
        <x:v>unknown</x:v>
      </x:c>
      <x:c r="I10" s="22" t="n">
        <x:f>E10/SUM($E$5:$E$34)</x:f>
        <x:v>0.0025020453909347547</x:v>
      </x:c>
      <x:c r="J10" s="6"/>
      <x:c r="K10" s="6"/>
      <x:c r="L10" s="6"/>
      <x:c r="M10" s="6"/>
      <x:c r="N10" s="6"/>
      <x:c r="O10" s="6"/>
      <x:c r="P10" s="6"/>
    </x:row>
    <x:row r="11" ht="24" customHeight="1">
      <x:c r="A11" s="36" t="str">
        <x:v>…/1769254251413/workspace.json</x:v>
      </x:c>
      <x:c r="B11" s="18" t="n">
        <x:v>127</x:v>
      </x:c>
      <x:c r="C11" s="18" t="n">
        <x:v>62776</x:v>
      </x:c>
      <x:c r="D11" s="18" t="n">
        <x:v>90688</x:v>
      </x:c>
      <x:c r="E11" s="18" t="n">
        <x:f>C11+D11</x:f>
        <x:v>153464</x:v>
      </x:c>
      <x:c r="F11" s="20" t="n">
        <x:v>127</x:v>
      </x:c>
      <x:c r="G11" s="18" t="n">
        <x:v>0</x:v>
      </x:c>
      <x:c r="H11" s="16" t="str">
        <x:v>unknown</x:v>
      </x:c>
      <x:c r="I11" s="22" t="n">
        <x:f>E11/SUM($E$5:$E$34)</x:f>
        <x:v>0.0016567380487753165</x:v>
      </x:c>
      <x:c r="J11" s="6"/>
      <x:c r="K11" s="6"/>
      <x:c r="L11" s="6"/>
      <x:c r="M11" s="6"/>
      <x:c r="N11" s="6"/>
      <x:c r="O11" s="6"/>
      <x:c r="P11" s="6"/>
    </x:row>
    <x:row r="12" ht="24" customHeight="1">
      <x:c r="A12" s="36" t="str">
        <x:v>…/101_CodeProjects/airgap-console</x:v>
      </x:c>
      <x:c r="B12" s="18" t="n">
        <x:v>106</x:v>
      </x:c>
      <x:c r="C12" s="18" t="n">
        <x:v>8413543</x:v>
      </x:c>
      <x:c r="D12" s="18" t="n">
        <x:v>42779</x:v>
      </x:c>
      <x:c r="E12" s="18" t="n">
        <x:f>C12+D12</x:f>
        <x:v>8456322</x:v>
      </x:c>
      <x:c r="F12" s="20" t="n">
        <x:v>283</x:v>
      </x:c>
      <x:c r="G12" s="18" t="n">
        <x:v>4097</x:v>
      </x:c>
      <x:c r="H12" s="16" t="str">
        <x:v>claude-opus-4.6</x:v>
      </x:c>
      <x:c r="I12" s="22" t="n">
        <x:f>E12/SUM($E$5:$E$34)</x:f>
        <x:v>0.0912911849690858</x:v>
      </x:c>
      <x:c r="J12" s="6"/>
      <x:c r="K12" s="6"/>
      <x:c r="L12" s="6"/>
      <x:c r="M12" s="6"/>
      <x:c r="N12" s="6"/>
      <x:c r="O12" s="6"/>
      <x:c r="P12" s="6"/>
    </x:row>
    <x:row r="13" ht="24" customHeight="1">
      <x:c r="A13" s="36" t="str">
        <x:v>…/101_CodeProjects/career-path</x:v>
      </x:c>
      <x:c r="B13" s="18" t="n">
        <x:v>102</x:v>
      </x:c>
      <x:c r="C13" s="18" t="n">
        <x:v>6233371</x:v>
      </x:c>
      <x:c r="D13" s="18" t="n">
        <x:v>101648</x:v>
      </x:c>
      <x:c r="E13" s="18" t="n">
        <x:f>C13+D13</x:f>
        <x:v>6335019</x:v>
      </x:c>
      <x:c r="F13" s="20" t="n">
        <x:v>268</x:v>
      </x:c>
      <x:c r="G13" s="18" t="n">
        <x:v>3172</x:v>
      </x:c>
      <x:c r="H13" s="16" t="str">
        <x:v>claude-opus-4.6</x:v>
      </x:c>
      <x:c r="I13" s="22" t="n">
        <x:f>E13/SUM($E$5:$E$34)</x:f>
        <x:v>0.06839041740743468</x:v>
      </x:c>
      <x:c r="J13" s="6"/>
      <x:c r="K13" s="6"/>
      <x:c r="L13" s="6"/>
      <x:c r="M13" s="6"/>
      <x:c r="N13" s="6"/>
      <x:c r="O13" s="6"/>
      <x:c r="P13" s="6"/>
    </x:row>
    <x:row r="14" ht="24" customHeight="1">
      <x:c r="A14" s="36" t="str">
        <x:v>…/10_Repo/09_Emagin8</x:v>
      </x:c>
      <x:c r="B14" s="18" t="n">
        <x:v>85</x:v>
      </x:c>
      <x:c r="C14" s="18" t="n">
        <x:v>794549</x:v>
      </x:c>
      <x:c r="D14" s="18" t="n">
        <x:v>23557</x:v>
      </x:c>
      <x:c r="E14" s="18" t="n">
        <x:f>C14+D14</x:f>
        <x:v>818106</x:v>
      </x:c>
      <x:c r="F14" s="20" t="n">
        <x:v>113</x:v>
      </x:c>
      <x:c r="G14" s="18" t="n">
        <x:v>378</x:v>
      </x:c>
      <x:c r="H14" s="16" t="str">
        <x:v>unknown</x:v>
      </x:c>
      <x:c r="I14" s="22" t="n">
        <x:f>E14/SUM($E$5:$E$34)</x:f>
        <x:v>0.008831956277246644</x:v>
      </x:c>
      <x:c r="J14" s="6"/>
      <x:c r="K14" s="6"/>
      <x:c r="L14" s="6"/>
      <x:c r="M14" s="6"/>
      <x:c r="N14" s="6"/>
      <x:c r="O14" s="6"/>
      <x:c r="P14" s="6"/>
    </x:row>
    <x:row r="15" ht="24" customHeight="1">
      <x:c r="A15" s="36" t="str">
        <x:v>…/10_Repo/02_Nolimit</x:v>
      </x:c>
      <x:c r="B15" s="18" t="n">
        <x:v>48</x:v>
      </x:c>
      <x:c r="C15" s="18" t="n">
        <x:v>16647</x:v>
      </x:c>
      <x:c r="D15" s="18" t="n">
        <x:v>21905</x:v>
      </x:c>
      <x:c r="E15" s="18" t="n">
        <x:f>C15+D15</x:f>
        <x:v>38552</x:v>
      </x:c>
      <x:c r="F15" s="20" t="n">
        <x:v>48</x:v>
      </x:c>
      <x:c r="G15" s="18" t="n">
        <x:v>0</x:v>
      </x:c>
      <x:c r="H15" s="16" t="str">
        <x:v>unknown</x:v>
      </x:c>
      <x:c r="I15" s="22" t="n">
        <x:f>E15/SUM($E$5:$E$34)</x:f>
        <x:v>0.0004161924963273862</x:v>
      </x:c>
      <x:c r="J15" s="6"/>
      <x:c r="K15" s="6"/>
      <x:c r="L15" s="6"/>
      <x:c r="M15" s="6"/>
      <x:c r="N15" s="6"/>
      <x:c r="O15" s="6"/>
      <x:c r="P15" s="6"/>
    </x:row>
    <x:row r="16" ht="24" customHeight="1">
      <x:c r="A16" s="36" t="str">
        <x:v>…/80_Hostinger/vps1</x:v>
      </x:c>
      <x:c r="B16" s="18" t="n">
        <x:v>20</x:v>
      </x:c>
      <x:c r="C16" s="18" t="n">
        <x:v>9536</x:v>
      </x:c>
      <x:c r="D16" s="18" t="n">
        <x:v>10901</x:v>
      </x:c>
      <x:c r="E16" s="18" t="n">
        <x:f>C16+D16</x:f>
        <x:v>20437</x:v>
      </x:c>
      <x:c r="F16" s="20" t="n">
        <x:v>0</x:v>
      </x:c>
      <x:c r="G16" s="18" t="n">
        <x:v>0</x:v>
      </x:c>
      <x:c r="H16" s="16" t="str">
        <x:v>auto</x:v>
      </x:c>
      <x:c r="I16" s="22" t="n">
        <x:f>E16/SUM($E$5:$E$34)</x:f>
        <x:v>0.00022062995557799316</x:v>
      </x:c>
      <x:c r="J16" s="6"/>
      <x:c r="K16" s="6"/>
      <x:c r="L16" s="6"/>
      <x:c r="M16" s="6"/>
      <x:c r="N16" s="6"/>
      <x:c r="O16" s="6"/>
      <x:c r="P16" s="6"/>
    </x:row>
    <x:row r="17" ht="24" customHeight="1">
      <x:c r="A17" s="36" t="str">
        <x:v>…/1785048235631/workspace.json</x:v>
      </x:c>
      <x:c r="B17" s="18" t="n">
        <x:v>20</x:v>
      </x:c>
      <x:c r="C17" s="18" t="n">
        <x:v>1964011</x:v>
      </x:c>
      <x:c r="D17" s="18" t="n">
        <x:v>35967</x:v>
      </x:c>
      <x:c r="E17" s="18" t="n">
        <x:f>C17+D17</x:f>
        <x:v>1999978</x:v>
      </x:c>
      <x:c r="F17" s="20" t="n">
        <x:v>540</x:v>
      </x:c>
      <x:c r="G17" s="18" t="n">
        <x:v>1072</x:v>
      </x:c>
      <x:c r="H17" s="16" t="str">
        <x:v>claude-opus-4.8</x:v>
      </x:c>
      <x:c r="I17" s="22" t="n">
        <x:f>E17/SUM($E$5:$E$34)</x:f>
        <x:v>0.021590989739049937</x:v>
      </x:c>
      <x:c r="J17" s="6"/>
      <x:c r="K17" s="6"/>
      <x:c r="L17" s="6"/>
      <x:c r="M17" s="6"/>
      <x:c r="N17" s="6"/>
      <x:c r="O17" s="6"/>
      <x:c r="P17" s="6"/>
    </x:row>
    <x:row r="18" ht="24" customHeight="1">
      <x:c r="A18" s="36" t="str">
        <x:v>…/10_Repo/88_KapNav</x:v>
      </x:c>
      <x:c r="B18" s="18" t="n">
        <x:v>17</x:v>
      </x:c>
      <x:c r="C18" s="18" t="n">
        <x:v>6484</x:v>
      </x:c>
      <x:c r="D18" s="18" t="n">
        <x:v>10186</x:v>
      </x:c>
      <x:c r="E18" s="18" t="n">
        <x:f>C18+D18</x:f>
        <x:v>16670</x:v>
      </x:c>
      <x:c r="F18" s="20" t="n">
        <x:v>17</x:v>
      </x:c>
      <x:c r="G18" s="18" t="n">
        <x:v>0</x:v>
      </x:c>
      <x:c r="H18" s="16" t="str">
        <x:v>unknown</x:v>
      </x:c>
      <x:c r="I18" s="22" t="n">
        <x:f>E18/SUM($E$5:$E$34)</x:f>
        <x:v>0.00017996287906665097</x:v>
      </x:c>
      <x:c r="J18" s="6"/>
      <x:c r="K18" s="6"/>
      <x:c r="L18" s="6"/>
      <x:c r="M18" s="6"/>
      <x:c r="N18" s="6"/>
      <x:c r="O18" s="6"/>
      <x:c r="P18" s="6"/>
    </x:row>
    <x:row r="19" ht="24" customHeight="1">
      <x:c r="A19" s="36" t="str">
        <x:v>…/101_CodeProjects/life-of-expat</x:v>
      </x:c>
      <x:c r="B19" s="18" t="n">
        <x:v>17</x:v>
      </x:c>
      <x:c r="C19" s="18" t="n">
        <x:v>7599</x:v>
      </x:c>
      <x:c r="D19" s="18" t="n">
        <x:v>16133</x:v>
      </x:c>
      <x:c r="E19" s="18" t="n">
        <x:f>C19+D19</x:f>
        <x:v>23732</x:v>
      </x:c>
      <x:c r="F19" s="20" t="n">
        <x:v>17</x:v>
      </x:c>
      <x:c r="G19" s="18" t="n">
        <x:v>0</x:v>
      </x:c>
      <x:c r="H19" s="16" t="str">
        <x:v>unknown</x:v>
      </x:c>
      <x:c r="I19" s="22" t="n">
        <x:f>E19/SUM($E$5:$E$34)</x:f>
        <x:v>0.0002562015024600936</x:v>
      </x:c>
      <x:c r="J19" s="6"/>
      <x:c r="K19" s="6"/>
      <x:c r="L19" s="6"/>
      <x:c r="M19" s="6"/>
      <x:c r="N19" s="6"/>
      <x:c r="O19" s="6"/>
      <x:c r="P19" s="6"/>
    </x:row>
    <x:row r="20" ht="24" customHeight="1">
      <x:c r="A20" s="36" t="str">
        <x:v>…/1779388861661/workspace.json</x:v>
      </x:c>
      <x:c r="B20" s="18" t="n">
        <x:v>14</x:v>
      </x:c>
      <x:c r="C20" s="18" t="n">
        <x:v>2038286</x:v>
      </x:c>
      <x:c r="D20" s="18" t="n">
        <x:v>18862</x:v>
      </x:c>
      <x:c r="E20" s="18" t="n">
        <x:f>C20+D20</x:f>
        <x:v>2057148</x:v>
      </x:c>
      <x:c r="F20" s="20" t="n">
        <x:v>14</x:v>
      </x:c>
      <x:c r="G20" s="18" t="n">
        <x:v>383</x:v>
      </x:c>
      <x:c r="H20" s="16" t="str">
        <x:v>gpt-5.3-codex</x:v>
      </x:c>
      <x:c r="I20" s="22" t="n">
        <x:f>E20/SUM($E$5:$E$34)</x:f>
        <x:v>0.02220817496977822</x:v>
      </x:c>
      <x:c r="J20" s="6"/>
      <x:c r="K20" s="6"/>
      <x:c r="L20" s="6"/>
      <x:c r="M20" s="6"/>
      <x:c r="N20" s="6"/>
      <x:c r="O20" s="6"/>
      <x:c r="P20" s="6"/>
    </x:row>
    <x:row r="21" ht="24" customHeight="1">
      <x:c r="A21" s="36" t="str">
        <x:v>…/101_CodeProjects/promptstreak-web</x:v>
      </x:c>
      <x:c r="B21" s="18" t="n">
        <x:v>2</x:v>
      </x:c>
      <x:c r="C21" s="18" t="n">
        <x:v>250000</x:v>
      </x:c>
      <x:c r="D21" s="18" t="n">
        <x:v>3000</x:v>
      </x:c>
      <x:c r="E21" s="18" t="n">
        <x:f>C21+D21</x:f>
        <x:v>253000</x:v>
      </x:c>
      <x:c r="F21" s="20" t="n">
        <x:v>8</x:v>
      </x:c>
      <x:c r="G21" s="18" t="n">
        <x:v>40</x:v>
      </x:c>
      <x:c r="H21" s="16" t="str">
        <x:v>gpt-5.3-codex</x:v>
      </x:c>
      <x:c r="I21" s="22" t="n">
        <x:f>E21/SUM($E$5:$E$34)</x:f>
        <x:v>0.0027312902461825253</x:v>
      </x:c>
      <x:c r="J21" s="6"/>
      <x:c r="K21" s="6"/>
      <x:c r="L21" s="6"/>
      <x:c r="M21" s="6"/>
      <x:c r="N21" s="6"/>
      <x:c r="O21" s="6"/>
      <x:c r="P21" s="6"/>
    </x:row>
    <x:row r="22" ht="24" customHeight="1">
      <x:c r="A22" s="36" t="str">
        <x:v>…/101_CodeProjects/promptstreak-api</x:v>
      </x:c>
      <x:c r="B22" s="18" t="n">
        <x:v>2</x:v>
      </x:c>
      <x:c r="C22" s="18" t="n">
        <x:v>180000</x:v>
      </x:c>
      <x:c r="D22" s="18" t="n">
        <x:v>2800</x:v>
      </x:c>
      <x:c r="E22" s="18" t="n">
        <x:f>C22+D22</x:f>
        <x:v>182800</x:v>
      </x:c>
      <x:c r="F22" s="20" t="n">
        <x:v>8</x:v>
      </x:c>
      <x:c r="G22" s="18" t="n">
        <x:v>30</x:v>
      </x:c>
      <x:c r="H22" s="16" t="str">
        <x:v>claude-opus-4.8</x:v>
      </x:c>
      <x:c r="I22" s="22" t="n">
        <x:f>E22/SUM($E$5:$E$34)</x:f>
        <x:v>0.001973438169969034</x:v>
      </x:c>
      <x:c r="J22" s="6"/>
      <x:c r="K22" s="6"/>
      <x:c r="L22" s="6"/>
      <x:c r="M22" s="6"/>
      <x:c r="N22" s="6"/>
      <x:c r="O22" s="6"/>
      <x:c r="P22" s="6"/>
    </x:row>
    <x:row r="23" ht="24" customHeight="1">
      <x:c r="A23" s="36" t="str">
        <x:v>…/llm-port/docs</x:v>
      </x:c>
      <x:c r="B23" s="18" t="n">
        <x:v>2</x:v>
      </x:c>
      <x:c r="C23" s="18" t="n">
        <x:v>120000</x:v>
      </x:c>
      <x:c r="D23" s="18" t="n">
        <x:v>2200</x:v>
      </x:c>
      <x:c r="E23" s="18" t="n">
        <x:f>C23+D23</x:f>
        <x:v>122200</x:v>
      </x:c>
      <x:c r="F23" s="20" t="n">
        <x:v>7</x:v>
      </x:c>
      <x:c r="G23" s="18" t="n">
        <x:v>25</x:v>
      </x:c>
      <x:c r="H23" s="16" t="str">
        <x:v>claude-opus-4.6</x:v>
      </x:c>
      <x:c r="I23" s="22" t="n">
        <x:f>E23/SUM($E$5:$E$34)</x:f>
        <x:v>0.001319223984519781</x:v>
      </x:c>
      <x:c r="J23" s="6"/>
      <x:c r="K23" s="6"/>
      <x:c r="L23" s="6"/>
      <x:c r="M23" s="6"/>
      <x:c r="N23" s="6"/>
      <x:c r="O23" s="6"/>
      <x:c r="P23" s="6"/>
    </x:row>
    <x:row r="24" ht="24" customHeight="1">
      <x:c r="A24" s="36" t="str">
        <x:v>…/10_Repo/agent-vibe-map</x:v>
      </x:c>
      <x:c r="B24" s="18" t="n">
        <x:v>2</x:v>
      </x:c>
      <x:c r="C24" s="18" t="n">
        <x:v>100000</x:v>
      </x:c>
      <x:c r="D24" s="18" t="n">
        <x:v>1800</x:v>
      </x:c>
      <x:c r="E24" s="18" t="n">
        <x:f>C24+D24</x:f>
        <x:v>101800</x:v>
      </x:c>
      <x:c r="F24" s="20" t="n">
        <x:v>7</x:v>
      </x:c>
      <x:c r="G24" s="18" t="n">
        <x:v>20</x:v>
      </x:c>
      <x:c r="H24" s="16" t="str">
        <x:v>gpt-5.3-codex</x:v>
      </x:c>
      <x:c r="I24" s="22" t="n">
        <x:f>E24/SUM($E$5:$E$34)</x:f>
        <x:v>0.001098993466645775</x:v>
      </x:c>
      <x:c r="J24" s="6"/>
      <x:c r="K24" s="6"/>
      <x:c r="L24" s="6"/>
      <x:c r="M24" s="6"/>
      <x:c r="N24" s="6"/>
      <x:c r="O24" s="6"/>
      <x:c r="P24" s="6"/>
    </x:row>
    <x:row r="25" ht="24" customHeight="1">
      <x:c r="A25" s="36" t="str">
        <x:v>…/10_Repo/badge-lab</x:v>
      </x:c>
      <x:c r="B25" s="18" t="n">
        <x:v>1</x:v>
      </x:c>
      <x:c r="C25" s="18" t="n">
        <x:v>80000</x:v>
      </x:c>
      <x:c r="D25" s="18" t="n">
        <x:v>1400</x:v>
      </x:c>
      <x:c r="E25" s="18" t="n">
        <x:f>C25+D25</x:f>
        <x:v>81400</x:v>
      </x:c>
      <x:c r="F25" s="20" t="n">
        <x:v>5</x:v>
      </x:c>
      <x:c r="G25" s="18" t="n">
        <x:v>15</x:v>
      </x:c>
      <x:c r="H25" s="16" t="str">
        <x:v>claude-opus-4.6</x:v>
      </x:c>
      <x:c r="I25" s="22" t="n">
        <x:f>E25/SUM($E$5:$E$34)</x:f>
        <x:v>0.000878762948771769</x:v>
      </x:c>
      <x:c r="J25" s="6"/>
      <x:c r="K25" s="6"/>
      <x:c r="L25" s="6"/>
      <x:c r="M25" s="6"/>
      <x:c r="N25" s="6"/>
      <x:c r="O25" s="6"/>
      <x:c r="P25" s="6"/>
    </x:row>
    <x:row r="26" ht="24" customHeight="1">
      <x:c r="A26" s="36" t="str">
        <x:v>…/10_Repo/profile-ui</x:v>
      </x:c>
      <x:c r="B26" s="18" t="n">
        <x:v>1</x:v>
      </x:c>
      <x:c r="C26" s="18" t="n">
        <x:v>60000</x:v>
      </x:c>
      <x:c r="D26" s="18" t="n">
        <x:v>1200</x:v>
      </x:c>
      <x:c r="E26" s="18" t="n">
        <x:f>C26+D26</x:f>
        <x:v>61200</x:v>
      </x:c>
      <x:c r="F26" s="20" t="n">
        <x:v>5</x:v>
      </x:c>
      <x:c r="G26" s="18" t="n">
        <x:v>10</x:v>
      </x:c>
      <x:c r="H26" s="16" t="str">
        <x:v>auto</x:v>
      </x:c>
      <x:c r="I26" s="22" t="n">
        <x:f>E26/SUM($E$5:$E$34)</x:f>
        <x:v>0.000660691553622018</x:v>
      </x:c>
      <x:c r="J26" s="6"/>
      <x:c r="K26" s="6"/>
      <x:c r="L26" s="6"/>
      <x:c r="M26" s="6"/>
      <x:c r="N26" s="6"/>
      <x:c r="O26" s="6"/>
      <x:c r="P26" s="6"/>
    </x:row>
    <x:row r="27" ht="24" customHeight="1">
      <x:c r="A27" s="36" t="str">
        <x:v>…/80_Hostinger/monitoring</x:v>
      </x:c>
      <x:c r="B27" s="18" t="n">
        <x:v>1</x:v>
      </x:c>
      <x:c r="C27" s="18" t="n">
        <x:v>50000</x:v>
      </x:c>
      <x:c r="D27" s="18" t="n">
        <x:v>1100</x:v>
      </x:c>
      <x:c r="E27" s="18" t="n">
        <x:f>C27+D27</x:f>
        <x:v>51100</x:v>
      </x:c>
      <x:c r="F27" s="20" t="n">
        <x:v>4</x:v>
      </x:c>
      <x:c r="G27" s="18" t="n">
        <x:v>8</x:v>
      </x:c>
      <x:c r="H27" s="16" t="str">
        <x:v>claude-opus-4.8</x:v>
      </x:c>
      <x:c r="I27" s="22" t="n">
        <x:f>E27/SUM($E$5:$E$34)</x:f>
        <x:v>0.0005516558560471424</x:v>
      </x:c>
      <x:c r="J27" s="6"/>
      <x:c r="K27" s="6"/>
      <x:c r="L27" s="6"/>
      <x:c r="M27" s="6"/>
      <x:c r="N27" s="6"/>
      <x:c r="O27" s="6"/>
      <x:c r="P27" s="6"/>
    </x:row>
    <x:row r="28" ht="24" customHeight="1">
      <x:c r="A28" s="36" t="str">
        <x:v>…/sandbox/copilot-tests</x:v>
      </x:c>
      <x:c r="B28" s="18" t="n">
        <x:v>1</x:v>
      </x:c>
      <x:c r="C28" s="18" t="n">
        <x:v>40000</x:v>
      </x:c>
      <x:c r="D28" s="18" t="n">
        <x:v>1000</x:v>
      </x:c>
      <x:c r="E28" s="18" t="n">
        <x:f>C28+D28</x:f>
        <x:v>41000</x:v>
      </x:c>
      <x:c r="F28" s="20" t="n">
        <x:v>4</x:v>
      </x:c>
      <x:c r="G28" s="18" t="n">
        <x:v>5</x:v>
      </x:c>
      <x:c r="H28" s="16" t="str">
        <x:v>unknown</x:v>
      </x:c>
      <x:c r="I28" s="22" t="n">
        <x:f>E28/SUM($E$5:$E$34)</x:f>
        <x:v>0.00044262015847226695</x:v>
      </x:c>
      <x:c r="J28" s="6"/>
      <x:c r="K28" s="6"/>
      <x:c r="L28" s="6"/>
      <x:c r="M28" s="6"/>
      <x:c r="N28" s="6"/>
      <x:c r="O28" s="6"/>
      <x:c r="P28" s="6"/>
    </x:row>
    <x:row r="29" ht="24" customHeight="1">
      <x:c r="A29" s="36" t="str">
        <x:v>…/sandbox/model-routing</x:v>
      </x:c>
      <x:c r="B29" s="18" t="n">
        <x:v>1</x:v>
      </x:c>
      <x:c r="C29" s="18" t="n">
        <x:v>30000</x:v>
      </x:c>
      <x:c r="D29" s="18" t="n">
        <x:v>800</x:v>
      </x:c>
      <x:c r="E29" s="18" t="n">
        <x:f>C29+D29</x:f>
        <x:v>30800</x:v>
      </x:c>
      <x:c r="F29" s="20" t="n">
        <x:v>3</x:v>
      </x:c>
      <x:c r="G29" s="18" t="n">
        <x:v>4</x:v>
      </x:c>
      <x:c r="H29" s="16" t="str">
        <x:v>gpt-5.4-mini</x:v>
      </x:c>
      <x:c r="I29" s="22" t="n">
        <x:f>E29/SUM($E$5:$E$34)</x:f>
        <x:v>0.00033250489953526394</x:v>
      </x:c>
      <x:c r="J29" s="6"/>
      <x:c r="K29" s="6"/>
      <x:c r="L29" s="6"/>
      <x:c r="M29" s="6"/>
      <x:c r="N29" s="6"/>
      <x:c r="O29" s="6"/>
      <x:c r="P29" s="6"/>
    </x:row>
    <x:row r="30" ht="24" customHeight="1">
      <x:c r="A30" s="36" t="str">
        <x:v>…/research/ai-regulations</x:v>
      </x:c>
      <x:c r="B30" s="18" t="n">
        <x:v>1</x:v>
      </x:c>
      <x:c r="C30" s="18" t="n">
        <x:v>25000</x:v>
      </x:c>
      <x:c r="D30" s="18" t="n">
        <x:v>700</x:v>
      </x:c>
      <x:c r="E30" s="18" t="n">
        <x:f>C30+D30</x:f>
        <x:v>25700</x:v>
      </x:c>
      <x:c r="F30" s="20" t="n">
        <x:v>2</x:v>
      </x:c>
      <x:c r="G30" s="18" t="n">
        <x:v>2</x:v>
      </x:c>
      <x:c r="H30" s="16" t="str">
        <x:v>claude-opus-4.6</x:v>
      </x:c>
      <x:c r="I30" s="22" t="n">
        <x:f>E30/SUM($E$5:$E$34)</x:f>
        <x:v>0.00027744727006676247</x:v>
      </x:c>
      <x:c r="J30" s="6"/>
      <x:c r="K30" s="6"/>
      <x:c r="L30" s="6"/>
      <x:c r="M30" s="6"/>
      <x:c r="N30" s="6"/>
      <x:c r="O30" s="6"/>
      <x:c r="P30" s="6"/>
    </x:row>
    <x:row r="31" ht="24" customHeight="1">
      <x:c r="A31" s="36" t="str">
        <x:v>…/research/privacy-export</x:v>
      </x:c>
      <x:c r="B31" s="18" t="n">
        <x:v>1</x:v>
      </x:c>
      <x:c r="C31" s="18" t="n">
        <x:v>15000</x:v>
      </x:c>
      <x:c r="D31" s="18" t="n">
        <x:v>600</x:v>
      </x:c>
      <x:c r="E31" s="18" t="n">
        <x:f>C31+D31</x:f>
        <x:v>15600</x:v>
      </x:c>
      <x:c r="F31" s="20" t="n">
        <x:v>2</x:v>
      </x:c>
      <x:c r="G31" s="18" t="n">
        <x:v>1</x:v>
      </x:c>
      <x:c r="H31" s="16" t="str">
        <x:v>claude-opus-4.8</x:v>
      </x:c>
      <x:c r="I31" s="22" t="n">
        <x:f>E31/SUM($E$5:$E$34)</x:f>
        <x:v>0.00016841157249188694</x:v>
      </x:c>
      <x:c r="J31" s="6"/>
      <x:c r="K31" s="6"/>
      <x:c r="L31" s="6"/>
      <x:c r="M31" s="6"/>
      <x:c r="N31" s="6"/>
      <x:c r="O31" s="6"/>
      <x:c r="P31" s="6"/>
    </x:row>
    <x:row r="32" ht="24" customHeight="1">
      <x:c r="A32" s="36" t="str">
        <x:v>…/experiments/excel-export</x:v>
      </x:c>
      <x:c r="B32" s="18" t="n">
        <x:v>1</x:v>
      </x:c>
      <x:c r="C32" s="18" t="n">
        <x:v>10000</x:v>
      </x:c>
      <x:c r="D32" s="18" t="n">
        <x:v>500</x:v>
      </x:c>
      <x:c r="E32" s="18" t="n">
        <x:f>C32+D32</x:f>
        <x:v>10500</x:v>
      </x:c>
      <x:c r="F32" s="20" t="n">
        <x:v>1</x:v>
      </x:c>
      <x:c r="G32" s="18" t="n">
        <x:v>1</x:v>
      </x:c>
      <x:c r="H32" s="16" t="str">
        <x:v>gpt-5.3-codex</x:v>
      </x:c>
      <x:c r="I32" s="22" t="n">
        <x:f>E32/SUM($E$5:$E$34)</x:f>
        <x:v>0.00011335394302338544</x:v>
      </x:c>
      <x:c r="J32" s="6"/>
      <x:c r="K32" s="6"/>
      <x:c r="L32" s="6"/>
      <x:c r="M32" s="6"/>
      <x:c r="N32" s="6"/>
      <x:c r="O32" s="6"/>
      <x:c r="P32" s="6"/>
    </x:row>
    <x:row r="33" ht="24" customHeight="1">
      <x:c r="A33" s="36" t="str">
        <x:v>…/misc/scratchpad</x:v>
      </x:c>
      <x:c r="B33" s="18" t="n">
        <x:v>1</x:v>
      </x:c>
      <x:c r="C33" s="18" t="n">
        <x:v>7000</x:v>
      </x:c>
      <x:c r="D33" s="18" t="n">
        <x:v>400</x:v>
      </x:c>
      <x:c r="E33" s="18" t="n">
        <x:f>C33+D33</x:f>
        <x:v>7400</x:v>
      </x:c>
      <x:c r="F33" s="20" t="n">
        <x:v>1</x:v>
      </x:c>
      <x:c r="G33" s="18" t="n">
        <x:v>0</x:v>
      </x:c>
      <x:c r="H33" s="16" t="str">
        <x:v>unknown</x:v>
      </x:c>
      <x:c r="I33" s="22" t="n">
        <x:f>E33/SUM($E$5:$E$34)</x:f>
        <x:v>0.00007988754079743354</x:v>
      </x:c>
      <x:c r="J33" s="6"/>
      <x:c r="K33" s="6"/>
      <x:c r="L33" s="6"/>
      <x:c r="M33" s="6"/>
      <x:c r="N33" s="6"/>
      <x:c r="O33" s="6"/>
      <x:c r="P33" s="6"/>
    </x:row>
    <x:row r="34" ht="24" customHeight="1">
      <x:c r="A34" s="36" t="str">
        <x:v>…/misc/legacy-workspace</x:v>
      </x:c>
      <x:c r="B34" s="18" t="n">
        <x:v>1</x:v>
      </x:c>
      <x:c r="C34" s="18" t="n">
        <x:v>4507</x:v>
      </x:c>
      <x:c r="D34" s="18" t="n">
        <x:v>932</x:v>
      </x:c>
      <x:c r="E34" s="18" t="n">
        <x:f>C34+D34</x:f>
        <x:v>5439</x:v>
      </x:c>
      <x:c r="F34" s="20" t="n">
        <x:v>1</x:v>
      </x:c>
      <x:c r="G34" s="18" t="n">
        <x:v>0</x:v>
      </x:c>
      <x:c r="H34" s="16" t="str">
        <x:v>auto</x:v>
      </x:c>
      <x:c r="I34" s="22" t="n">
        <x:f>E34/SUM($E$5:$E$34)</x:f>
        <x:v>0.000058717342486113654</x:v>
      </x:c>
      <x:c r="J34" s="6"/>
      <x:c r="K34" s="6"/>
      <x:c r="L34" s="6"/>
      <x:c r="M34" s="6"/>
      <x:c r="N34" s="6"/>
      <x:c r="O34" s="6"/>
      <x:c r="P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  <x:c r="M35" s="6"/>
      <x:c r="N35" s="6"/>
      <x:c r="O35" s="6"/>
      <x:c r="P35" s="6"/>
    </x:row>
    <x:row r="36" ht="28" customHeight="1">
      <x:c r="A36" s="24" t="str">
        <x:v>Total</x:v>
      </x:c>
      <x:c r="B36" s="26" t="n">
        <x:f>SUM(WorkspacesTable[Requests])</x:f>
        <x:v>2386</x:v>
      </x:c>
      <x:c r="C36" s="26" t="n">
        <x:f>SUM(WorkspacesTable[Prompt Tokens])</x:f>
        <x:v>90514441</x:v>
      </x:c>
      <x:c r="D36" s="26" t="n">
        <x:f>SUM(WorkspacesTable[Output Tokens])</x:f>
        <x:v>2115773</x:v>
      </x:c>
      <x:c r="E36" s="26" t="n">
        <x:f>SUM(WorkspacesTable[Total Tokens])</x:f>
        <x:v>92630214</x:v>
      </x:c>
      <x:c r="F36" s="28" t="n">
        <x:f>SUM(WorkspacesTable[Premium Units])</x:f>
        <x:v>6352</x:v>
      </x:c>
      <x:c r="G36" s="26" t="n">
        <x:f>SUM(WorkspacesTable[Credits])</x:f>
        <x:v>40470</x:v>
      </x:c>
      <x:c r="H36" s="24"/>
      <x:c r="I36" s="30" t="n">
        <x:f>SUM(WorkspacesTable[Token Share])</x:f>
        <x:v>1.0000000000000002</x:v>
      </x:c>
      <x:c r="J36" s="6"/>
      <x:c r="K36" s="6"/>
      <x:c r="L36" s="6"/>
      <x:c r="M36" s="6"/>
      <x:c r="N36" s="6"/>
      <x:c r="O36" s="6"/>
      <x:c r="P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</x:row>
  </x:sheetData>
  <x:mergeCells>
    <x:mergeCell ref="A1:I1"/>
    <x:mergeCell ref="A2:I2"/>
  </x:mergeCells>
  <x:conditionalFormatting sqref="I5:I34">
    <x:cfRule type="dataBar" priority="1">
      <x:dataBar>
        <x:cfvo type="min"/>
        <x:cfvo type="max"/>
        <x:color rgb="FF69B96E"/>
      </x:dataBar>
      <x:extLst>
        <x:ext xmlns:x14="http://schemas.microsoft.com/office/spreadsheetml/2009/9/main" uri="{B025F937-C7B1-47D3-B67F-A62EFF666E3E}">
          <x14:id>{361959A1-62B2-38DD-1606-C050B03B30B4}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7d334452ea6e4939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361959A1-62B2-38DD-1606-C050B03B30B4}">
            <x14:dataBar gradient="1">
              <x14:cfvo type="min"/>
              <x14:cfvo type="max"/>
              <x14:fillColor rgb="FF69B96E"/>
            </x14:dataBar>
          </x14:cfRule>
          <xm:sqref>I5:I34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18" hidden="0" customWidth="1"/>
    <x:col min="4" max="4" width="17" hidden="0" customWidth="1"/>
    <x:col min="5" max="5" width="14" hidden="0" customWidth="1"/>
    <x:col min="6" max="6" width="15" hidden="0" customWidth="1"/>
    <x:col min="7" max="7" width="13" hidden="0" customWidth="1"/>
    <x:col min="8" max="8" width="11" hidden="0" customWidth="1"/>
  </x:cols>
  <x:sheetData>
    <x:row r="1" ht="34" customHeight="1">
      <x:c r="A1" s="8" t="str">
        <x:v>Daily Data</x:v>
      </x:c>
      <x:c r="B1" s="8"/>
      <x:c r="C1" s="8"/>
      <x:c r="D1" s="8"/>
      <x:c r="E1" s="8"/>
      <x:c r="F1" s="8"/>
      <x:c r="G1" s="8"/>
      <x:c r="H1" s="8"/>
      <x:c r="I1" s="6"/>
      <x:c r="J1" s="6"/>
      <x:c r="K1" s="6"/>
      <x:c r="L1" s="6"/>
      <x:c r="M1" s="6"/>
      <x:c r="N1" s="6"/>
      <x:c r="O1" s="6"/>
      <x:c r="P1" s="6"/>
    </x:row>
    <x:row r="2" ht="22" customHeight="1">
      <x:c r="A2" s="10" t="str">
        <x:v>Dashboard chart source. Replace rows in DailyUsageTable when exporting.</x:v>
      </x:c>
      <x:c r="B2" s="10"/>
      <x:c r="C2" s="10"/>
      <x:c r="D2" s="10"/>
      <x:c r="E2" s="10"/>
      <x:c r="F2" s="10"/>
      <x:c r="G2" s="10"/>
      <x:c r="H2" s="10"/>
      <x:c r="I2" s="6"/>
      <x:c r="J2" s="6"/>
      <x:c r="K2" s="6"/>
      <x:c r="L2" s="6"/>
      <x:c r="M2" s="6"/>
      <x:c r="N2" s="6"/>
      <x:c r="O2" s="6"/>
      <x:c r="P2" s="6"/>
    </x:row>
    <x:row r="3">
      <x:c r="A3" s="6"/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</x:row>
    <x:row r="4" ht="26" customHeight="1">
      <x:c r="A4" s="13" t="str">
        <x:v>Date</x:v>
      </x:c>
      <x:c r="B4" s="13" t="str">
        <x:v>Requests</x:v>
      </x:c>
      <x:c r="C4" s="13" t="str">
        <x:v>Prompt Tokens</x:v>
      </x:c>
      <x:c r="D4" s="13" t="str">
        <x:v>Output Tokens</x:v>
      </x:c>
      <x:c r="E4" s="13" t="str">
        <x:v>Tool Rounds</x:v>
      </x:c>
      <x:c r="F4" s="13" t="str">
        <x:v>Premium Units</x:v>
      </x:c>
      <x:c r="G4" s="13" t="str">
        <x:v>Credits</x:v>
      </x:c>
      <x:c r="H4" s="13" t="str">
        <x:v>Sessions</x:v>
      </x:c>
      <x:c r="I4" s="6"/>
      <x:c r="J4" s="6"/>
      <x:c r="K4" s="6"/>
      <x:c r="L4" s="6"/>
      <x:c r="M4" s="6"/>
      <x:c r="N4" s="6"/>
      <x:c r="O4" s="6"/>
      <x:c r="P4" s="6"/>
    </x:row>
    <x:row r="5" ht="24" customHeight="1">
      <x:c r="A5" s="38" t="n">
        <x:v>45774</x:v>
      </x:c>
      <x:c r="B5" s="18" t="n">
        <x:v>16</x:v>
      </x:c>
      <x:c r="C5" s="18" t="n">
        <x:v>601942</x:v>
      </x:c>
      <x:c r="D5" s="18" t="n">
        <x:v>16392</x:v>
      </x:c>
      <x:c r="E5" s="18" t="n">
        <x:v>111</x:v>
      </x:c>
      <x:c r="F5" s="18" t="n">
        <x:v>39</x:v>
      </x:c>
      <x:c r="G5" s="18" t="n">
        <x:v>219</x:v>
      </x:c>
      <x:c r="H5" s="18" t="n">
        <x:v>2</x:v>
      </x:c>
      <x:c r="I5" s="6"/>
      <x:c r="J5" s="6"/>
      <x:c r="K5" s="6"/>
      <x:c r="L5" s="6"/>
      <x:c r="M5" s="6"/>
      <x:c r="N5" s="6"/>
      <x:c r="O5" s="6"/>
      <x:c r="P5" s="6"/>
    </x:row>
    <x:row r="6" ht="24" customHeight="1">
      <x:c r="A6" s="38" t="n">
        <x:v>45786</x:v>
      </x:c>
      <x:c r="B6" s="18" t="n">
        <x:v>65</x:v>
      </x:c>
      <x:c r="C6" s="18" t="n">
        <x:v>2470622</x:v>
      </x:c>
      <x:c r="D6" s="18" t="n">
        <x:v>66227</x:v>
      </x:c>
      <x:c r="E6" s="18" t="n">
        <x:v>496</x:v>
      </x:c>
      <x:c r="F6" s="18" t="n">
        <x:v>191</x:v>
      </x:c>
      <x:c r="G6" s="18" t="n">
        <x:v>826</x:v>
      </x:c>
      <x:c r="H6" s="18" t="n">
        <x:v>5</x:v>
      </x:c>
      <x:c r="I6" s="6"/>
      <x:c r="J6" s="6"/>
      <x:c r="K6" s="6"/>
      <x:c r="L6" s="6"/>
      <x:c r="M6" s="6"/>
      <x:c r="N6" s="6"/>
      <x:c r="O6" s="6"/>
      <x:c r="P6" s="6"/>
    </x:row>
    <x:row r="7" ht="24" customHeight="1">
      <x:c r="A7" s="38" t="n">
        <x:v>45797</x:v>
      </x:c>
      <x:c r="B7" s="18" t="n">
        <x:v>25</x:v>
      </x:c>
      <x:c r="C7" s="18" t="n">
        <x:v>956103</x:v>
      </x:c>
      <x:c r="D7" s="18" t="n">
        <x:v>20093</x:v>
      </x:c>
      <x:c r="E7" s="18" t="n">
        <x:v>210</x:v>
      </x:c>
      <x:c r="F7" s="18" t="n">
        <x:v>64</x:v>
      </x:c>
      <x:c r="G7" s="18" t="n">
        <x:v>513</x:v>
      </x:c>
      <x:c r="H7" s="18" t="n">
        <x:v>3</x:v>
      </x:c>
      <x:c r="I7" s="6"/>
      <x:c r="J7" s="6"/>
      <x:c r="K7" s="6"/>
      <x:c r="L7" s="6"/>
      <x:c r="M7" s="6"/>
      <x:c r="N7" s="6"/>
      <x:c r="O7" s="6"/>
      <x:c r="P7" s="6"/>
    </x:row>
    <x:row r="8" ht="24" customHeight="1">
      <x:c r="A8" s="38" t="n">
        <x:v>45809</x:v>
      </x:c>
      <x:c r="B8" s="18" t="n">
        <x:v>13</x:v>
      </x:c>
      <x:c r="C8" s="18" t="n">
        <x:v>485384</x:v>
      </x:c>
      <x:c r="D8" s="18" t="n">
        <x:v>11873</x:v>
      </x:c>
      <x:c r="E8" s="18" t="n">
        <x:v>127</x:v>
      </x:c>
      <x:c r="F8" s="18" t="n">
        <x:v>25</x:v>
      </x:c>
      <x:c r="G8" s="18" t="n">
        <x:v>178</x:v>
      </x:c>
      <x:c r="H8" s="18" t="n">
        <x:v>2</x:v>
      </x:c>
      <x:c r="I8" s="6"/>
      <x:c r="J8" s="6"/>
      <x:c r="K8" s="6"/>
      <x:c r="L8" s="6"/>
      <x:c r="M8" s="6"/>
      <x:c r="N8" s="6"/>
      <x:c r="O8" s="6"/>
      <x:c r="P8" s="6"/>
    </x:row>
    <x:row r="9" ht="24" customHeight="1">
      <x:c r="A9" s="38" t="n">
        <x:v>45821</x:v>
      </x:c>
      <x:c r="B9" s="18" t="n">
        <x:v>2</x:v>
      </x:c>
      <x:c r="C9" s="18" t="n">
        <x:v>93529</x:v>
      </x:c>
      <x:c r="D9" s="18" t="n">
        <x:v>2260</x:v>
      </x:c>
      <x:c r="E9" s="18" t="n">
        <x:v>19</x:v>
      </x:c>
      <x:c r="F9" s="18" t="n">
        <x:v>8</x:v>
      </x:c>
      <x:c r="G9" s="18" t="n">
        <x:v>43</x:v>
      </x:c>
      <x:c r="H9" s="18" t="n">
        <x:v>1</x:v>
      </x:c>
      <x:c r="I9" s="6"/>
      <x:c r="J9" s="6"/>
      <x:c r="K9" s="6"/>
      <x:c r="L9" s="6"/>
      <x:c r="M9" s="6"/>
      <x:c r="N9" s="6"/>
      <x:c r="O9" s="6"/>
      <x:c r="P9" s="6"/>
    </x:row>
    <x:row r="10" ht="24" customHeight="1">
      <x:c r="A10" s="38" t="n">
        <x:v>45832</x:v>
      </x:c>
      <x:c r="B10" s="18" t="n">
        <x:v>49</x:v>
      </x:c>
      <x:c r="C10" s="18" t="n">
        <x:v>1849913</x:v>
      </x:c>
      <x:c r="D10" s="18" t="n">
        <x:v>36150</x:v>
      </x:c>
      <x:c r="E10" s="18" t="n">
        <x:v>370</x:v>
      </x:c>
      <x:c r="F10" s="18" t="n">
        <x:v>141</x:v>
      </x:c>
      <x:c r="G10" s="18" t="n">
        <x:v>861</x:v>
      </x:c>
      <x:c r="H10" s="18" t="n">
        <x:v>4</x:v>
      </x:c>
      <x:c r="I10" s="6"/>
      <x:c r="J10" s="6"/>
      <x:c r="K10" s="6"/>
      <x:c r="L10" s="6"/>
      <x:c r="M10" s="6"/>
      <x:c r="N10" s="6"/>
      <x:c r="O10" s="6"/>
      <x:c r="P10" s="6"/>
    </x:row>
    <x:row r="11" ht="24" customHeight="1">
      <x:c r="A11" s="38" t="n">
        <x:v>45844</x:v>
      </x:c>
      <x:c r="B11" s="18" t="n">
        <x:v>13</x:v>
      </x:c>
      <x:c r="C11" s="18" t="n">
        <x:v>489008</x:v>
      </x:c>
      <x:c r="D11" s="18" t="n">
        <x:v>12574</x:v>
      </x:c>
      <x:c r="E11" s="18" t="n">
        <x:v>86</x:v>
      </x:c>
      <x:c r="F11" s="18" t="n">
        <x:v>39</x:v>
      </x:c>
      <x:c r="G11" s="18" t="n">
        <x:v>202</x:v>
      </x:c>
      <x:c r="H11" s="18" t="n">
        <x:v>2</x:v>
      </x:c>
      <x:c r="I11" s="6"/>
      <x:c r="J11" s="6"/>
      <x:c r="K11" s="6"/>
      <x:c r="L11" s="6"/>
      <x:c r="M11" s="6"/>
      <x:c r="N11" s="6"/>
      <x:c r="O11" s="6"/>
      <x:c r="P11" s="6"/>
    </x:row>
    <x:row r="12" ht="24" customHeight="1">
      <x:c r="A12" s="38" t="n">
        <x:v>45856</x:v>
      </x:c>
      <x:c r="B12" s="18" t="n">
        <x:v>86</x:v>
      </x:c>
      <x:c r="C12" s="18" t="n">
        <x:v>3267527</x:v>
      </x:c>
      <x:c r="D12" s="18" t="n">
        <x:v>76637</x:v>
      </x:c>
      <x:c r="E12" s="18" t="n">
        <x:v>874</x:v>
      </x:c>
      <x:c r="F12" s="18" t="n">
        <x:v>259</x:v>
      </x:c>
      <x:c r="G12" s="18" t="n">
        <x:v>1490</x:v>
      </x:c>
      <x:c r="H12" s="18" t="n">
        <x:v>6</x:v>
      </x:c>
      <x:c r="I12" s="6"/>
      <x:c r="J12" s="6"/>
      <x:c r="K12" s="6"/>
      <x:c r="L12" s="6"/>
      <x:c r="M12" s="6"/>
      <x:c r="N12" s="6"/>
      <x:c r="O12" s="6"/>
      <x:c r="P12" s="6"/>
    </x:row>
    <x:row r="13" ht="24" customHeight="1">
      <x:c r="A13" s="38" t="n">
        <x:v>45867</x:v>
      </x:c>
      <x:c r="B13" s="18" t="n">
        <x:v>20</x:v>
      </x:c>
      <x:c r="C13" s="18" t="n">
        <x:v>747920</x:v>
      </x:c>
      <x:c r="D13" s="18" t="n">
        <x:v>19353</x:v>
      </x:c>
      <x:c r="E13" s="18" t="n">
        <x:v>151</x:v>
      </x:c>
      <x:c r="F13" s="18" t="n">
        <x:v>57</x:v>
      </x:c>
      <x:c r="G13" s="18" t="n">
        <x:v>329</x:v>
      </x:c>
      <x:c r="H13" s="18" t="n">
        <x:v>3</x:v>
      </x:c>
      <x:c r="I13" s="6"/>
      <x:c r="J13" s="6"/>
      <x:c r="K13" s="6"/>
      <x:c r="L13" s="6"/>
      <x:c r="M13" s="6"/>
      <x:c r="N13" s="6"/>
      <x:c r="O13" s="6"/>
      <x:c r="P13" s="6"/>
    </x:row>
    <x:row r="14" ht="24" customHeight="1">
      <x:c r="A14" s="38" t="n">
        <x:v>45879</x:v>
      </x:c>
      <x:c r="B14" s="18" t="n">
        <x:v>87</x:v>
      </x:c>
      <x:c r="C14" s="18" t="n">
        <x:v>3286963</x:v>
      </x:c>
      <x:c r="D14" s="18" t="n">
        <x:v>76793</x:v>
      </x:c>
      <x:c r="E14" s="18" t="n">
        <x:v>1028</x:v>
      </x:c>
      <x:c r="F14" s="18" t="n">
        <x:v>182</x:v>
      </x:c>
      <x:c r="G14" s="18" t="n">
        <x:v>1801</x:v>
      </x:c>
      <x:c r="H14" s="18" t="n">
        <x:v>6</x:v>
      </x:c>
      <x:c r="I14" s="6"/>
      <x:c r="J14" s="6"/>
      <x:c r="K14" s="6"/>
      <x:c r="L14" s="6"/>
      <x:c r="M14" s="6"/>
      <x:c r="N14" s="6"/>
      <x:c r="O14" s="6"/>
      <x:c r="P14" s="6"/>
    </x:row>
    <x:row r="15" ht="24" customHeight="1">
      <x:c r="A15" s="38" t="n">
        <x:v>45891</x:v>
      </x:c>
      <x:c r="B15" s="18" t="n">
        <x:v>35</x:v>
      </x:c>
      <x:c r="C15" s="18" t="n">
        <x:v>1323685</x:v>
      </x:c>
      <x:c r="D15" s="18" t="n">
        <x:v>23827</x:v>
      </x:c>
      <x:c r="E15" s="18" t="n">
        <x:v>404</x:v>
      </x:c>
      <x:c r="F15" s="18" t="n">
        <x:v>87</x:v>
      </x:c>
      <x:c r="G15" s="18" t="n">
        <x:v>472</x:v>
      </x:c>
      <x:c r="H15" s="18" t="n">
        <x:v>4</x:v>
      </x:c>
      <x:c r="I15" s="6"/>
      <x:c r="J15" s="6"/>
      <x:c r="K15" s="6"/>
      <x:c r="L15" s="6"/>
      <x:c r="M15" s="6"/>
      <x:c r="N15" s="6"/>
      <x:c r="O15" s="6"/>
      <x:c r="P15" s="6"/>
    </x:row>
    <x:row r="16" ht="24" customHeight="1">
      <x:c r="A16" s="38" t="n">
        <x:v>45902</x:v>
      </x:c>
      <x:c r="B16" s="18" t="n">
        <x:v>22</x:v>
      </x:c>
      <x:c r="C16" s="18" t="n">
        <x:v>841311</x:v>
      </x:c>
      <x:c r="D16" s="18" t="n">
        <x:v>17900</x:v>
      </x:c>
      <x:c r="E16" s="18" t="n">
        <x:v>148</x:v>
      </x:c>
      <x:c r="F16" s="18" t="n">
        <x:v>48</x:v>
      </x:c>
      <x:c r="G16" s="18" t="n">
        <x:v>413</x:v>
      </x:c>
      <x:c r="H16" s="18" t="n">
        <x:v>3</x:v>
      </x:c>
      <x:c r="I16" s="6"/>
      <x:c r="J16" s="6"/>
      <x:c r="K16" s="6"/>
      <x:c r="L16" s="6"/>
      <x:c r="M16" s="6"/>
      <x:c r="N16" s="6"/>
      <x:c r="O16" s="6"/>
      <x:c r="P16" s="6"/>
    </x:row>
    <x:row r="17" ht="24" customHeight="1">
      <x:c r="A17" s="38" t="n">
        <x:v>45914</x:v>
      </x:c>
      <x:c r="B17" s="18" t="n">
        <x:v>96</x:v>
      </x:c>
      <x:c r="C17" s="18" t="n">
        <x:v>3654646</x:v>
      </x:c>
      <x:c r="D17" s="18" t="n">
        <x:v>66485</x:v>
      </x:c>
      <x:c r="E17" s="18" t="n">
        <x:v>742</x:v>
      </x:c>
      <x:c r="F17" s="18" t="n">
        <x:v>229</x:v>
      </x:c>
      <x:c r="G17" s="18" t="n">
        <x:v>1335</x:v>
      </x:c>
      <x:c r="H17" s="18" t="n">
        <x:v>6</x:v>
      </x:c>
      <x:c r="I17" s="6"/>
      <x:c r="J17" s="6"/>
      <x:c r="K17" s="6"/>
      <x:c r="L17" s="6"/>
      <x:c r="M17" s="6"/>
      <x:c r="N17" s="6"/>
      <x:c r="O17" s="6"/>
      <x:c r="P17" s="6"/>
    </x:row>
    <x:row r="18" ht="24" customHeight="1">
      <x:c r="A18" s="38" t="n">
        <x:v>45926</x:v>
      </x:c>
      <x:c r="B18" s="18" t="n">
        <x:v>13</x:v>
      </x:c>
      <x:c r="C18" s="18" t="n">
        <x:v>504064</x:v>
      </x:c>
      <x:c r="D18" s="18" t="n">
        <x:v>13811</x:v>
      </x:c>
      <x:c r="E18" s="18" t="n">
        <x:v>138</x:v>
      </x:c>
      <x:c r="F18" s="18" t="n">
        <x:v>26</x:v>
      </x:c>
      <x:c r="G18" s="18" t="n">
        <x:v>205</x:v>
      </x:c>
      <x:c r="H18" s="18" t="n">
        <x:v>2</x:v>
      </x:c>
      <x:c r="I18" s="6"/>
      <x:c r="J18" s="6"/>
      <x:c r="K18" s="6"/>
      <x:c r="L18" s="6"/>
      <x:c r="M18" s="6"/>
      <x:c r="N18" s="6"/>
      <x:c r="O18" s="6"/>
      <x:c r="P18" s="6"/>
    </x:row>
    <x:row r="19" ht="24" customHeight="1">
      <x:c r="A19" s="38" t="n">
        <x:v>45937</x:v>
      </x:c>
      <x:c r="B19" s="18" t="n">
        <x:v>6</x:v>
      </x:c>
      <x:c r="C19" s="18" t="n">
        <x:v>211987</x:v>
      </x:c>
      <x:c r="D19" s="18" t="n">
        <x:v>5700</x:v>
      </x:c>
      <x:c r="E19" s="18" t="n">
        <x:v>42</x:v>
      </x:c>
      <x:c r="F19" s="18" t="n">
        <x:v>13</x:v>
      </x:c>
      <x:c r="G19" s="18" t="n">
        <x:v>102</x:v>
      </x:c>
      <x:c r="H19" s="18" t="n">
        <x:v>1</x:v>
      </x:c>
      <x:c r="I19" s="6"/>
      <x:c r="J19" s="6"/>
      <x:c r="K19" s="6"/>
      <x:c r="L19" s="6"/>
      <x:c r="M19" s="6"/>
      <x:c r="N19" s="6"/>
      <x:c r="O19" s="6"/>
      <x:c r="P19" s="6"/>
    </x:row>
    <x:row r="20" ht="24" customHeight="1">
      <x:c r="A20" s="38" t="n">
        <x:v>45949</x:v>
      </x:c>
      <x:c r="B20" s="18" t="n">
        <x:v>37</x:v>
      </x:c>
      <x:c r="C20" s="18" t="n">
        <x:v>1400291</x:v>
      </x:c>
      <x:c r="D20" s="18" t="n">
        <x:v>36986</x:v>
      </x:c>
      <x:c r="E20" s="18" t="n">
        <x:v>260</x:v>
      </x:c>
      <x:c r="F20" s="18" t="n">
        <x:v>114</x:v>
      </x:c>
      <x:c r="G20" s="18" t="n">
        <x:v>534</x:v>
      </x:c>
      <x:c r="H20" s="18" t="n">
        <x:v>4</x:v>
      </x:c>
      <x:c r="I20" s="6"/>
      <x:c r="J20" s="6"/>
      <x:c r="K20" s="6"/>
      <x:c r="L20" s="6"/>
      <x:c r="M20" s="6"/>
      <x:c r="N20" s="6"/>
      <x:c r="O20" s="6"/>
      <x:c r="P20" s="6"/>
    </x:row>
    <x:row r="21" ht="24" customHeight="1">
      <x:c r="A21" s="38" t="n">
        <x:v>45961</x:v>
      </x:c>
      <x:c r="B21" s="18" t="n">
        <x:v>47</x:v>
      </x:c>
      <x:c r="C21" s="18" t="n">
        <x:v>1770752</x:v>
      </x:c>
      <x:c r="D21" s="18" t="n">
        <x:v>37376</x:v>
      </x:c>
      <x:c r="E21" s="18" t="n">
        <x:v>562</x:v>
      </x:c>
      <x:c r="F21" s="18" t="n">
        <x:v>104</x:v>
      </x:c>
      <x:c r="G21" s="18" t="n">
        <x:v>683</x:v>
      </x:c>
      <x:c r="H21" s="18" t="n">
        <x:v>4</x:v>
      </x:c>
      <x:c r="I21" s="6"/>
      <x:c r="J21" s="6"/>
      <x:c r="K21" s="6"/>
      <x:c r="L21" s="6"/>
      <x:c r="M21" s="6"/>
      <x:c r="N21" s="6"/>
      <x:c r="O21" s="6"/>
      <x:c r="P21" s="6"/>
    </x:row>
    <x:row r="22" ht="24" customHeight="1">
      <x:c r="A22" s="38" t="n">
        <x:v>45972</x:v>
      </x:c>
      <x:c r="B22" s="18" t="n">
        <x:v>58</x:v>
      </x:c>
      <x:c r="C22" s="18" t="n">
        <x:v>2214967</x:v>
      </x:c>
      <x:c r="D22" s="18" t="n">
        <x:v>41156</x:v>
      </x:c>
      <x:c r="E22" s="18" t="n">
        <x:v>571</x:v>
      </x:c>
      <x:c r="F22" s="18" t="n">
        <x:v>166</x:v>
      </x:c>
      <x:c r="G22" s="18" t="n">
        <x:v>1108</x:v>
      </x:c>
      <x:c r="H22" s="18" t="n">
        <x:v>5</x:v>
      </x:c>
      <x:c r="I22" s="6"/>
      <x:c r="J22" s="6"/>
      <x:c r="K22" s="6"/>
      <x:c r="L22" s="6"/>
      <x:c r="M22" s="6"/>
      <x:c r="N22" s="6"/>
      <x:c r="O22" s="6"/>
      <x:c r="P22" s="6"/>
    </x:row>
    <x:row r="23" ht="24" customHeight="1">
      <x:c r="A23" s="38" t="n">
        <x:v>45984</x:v>
      </x:c>
      <x:c r="B23" s="18" t="n">
        <x:v>15</x:v>
      </x:c>
      <x:c r="C23" s="18" t="n">
        <x:v>584842</x:v>
      </x:c>
      <x:c r="D23" s="18" t="n">
        <x:v>15722</x:v>
      </x:c>
      <x:c r="E23" s="18" t="n">
        <x:v>141</x:v>
      </x:c>
      <x:c r="F23" s="18" t="n">
        <x:v>38</x:v>
      </x:c>
      <x:c r="G23" s="18" t="n">
        <x:v>188</x:v>
      </x:c>
      <x:c r="H23" s="18" t="n">
        <x:v>2</x:v>
      </x:c>
      <x:c r="I23" s="6"/>
      <x:c r="J23" s="6"/>
      <x:c r="K23" s="6"/>
      <x:c r="L23" s="6"/>
      <x:c r="M23" s="6"/>
      <x:c r="N23" s="6"/>
      <x:c r="O23" s="6"/>
      <x:c r="P23" s="6"/>
    </x:row>
    <x:row r="24" ht="24" customHeight="1">
      <x:c r="A24" s="38" t="n">
        <x:v>45996</x:v>
      </x:c>
      <x:c r="B24" s="18" t="n">
        <x:v>48</x:v>
      </x:c>
      <x:c r="C24" s="18" t="n">
        <x:v>1839326</x:v>
      </x:c>
      <x:c r="D24" s="18" t="n">
        <x:v>50728</x:v>
      </x:c>
      <x:c r="E24" s="18" t="n">
        <x:v>539</x:v>
      </x:c>
      <x:c r="F24" s="18" t="n">
        <x:v>117</x:v>
      </x:c>
      <x:c r="G24" s="18" t="n">
        <x:v>778</x:v>
      </x:c>
      <x:c r="H24" s="18" t="n">
        <x:v>4</x:v>
      </x:c>
      <x:c r="I24" s="6"/>
      <x:c r="J24" s="6"/>
      <x:c r="K24" s="6"/>
      <x:c r="L24" s="6"/>
      <x:c r="M24" s="6"/>
      <x:c r="N24" s="6"/>
      <x:c r="O24" s="6"/>
      <x:c r="P24" s="6"/>
    </x:row>
    <x:row r="25" ht="24" customHeight="1">
      <x:c r="A25" s="38" t="n">
        <x:v>46007</x:v>
      </x:c>
      <x:c r="B25" s="18" t="n">
        <x:v>10</x:v>
      </x:c>
      <x:c r="C25" s="18" t="n">
        <x:v>391509</x:v>
      </x:c>
      <x:c r="D25" s="18" t="n">
        <x:v>7385</x:v>
      </x:c>
      <x:c r="E25" s="18" t="n">
        <x:v>116</x:v>
      </x:c>
      <x:c r="F25" s="18" t="n">
        <x:v>31</x:v>
      </x:c>
      <x:c r="G25" s="18" t="n">
        <x:v>221</x:v>
      </x:c>
      <x:c r="H25" s="18" t="n">
        <x:v>2</x:v>
      </x:c>
      <x:c r="I25" s="6"/>
      <x:c r="J25" s="6"/>
      <x:c r="K25" s="6"/>
      <x:c r="L25" s="6"/>
      <x:c r="M25" s="6"/>
      <x:c r="N25" s="6"/>
      <x:c r="O25" s="6"/>
      <x:c r="P25" s="6"/>
    </x:row>
    <x:row r="26" ht="24" customHeight="1">
      <x:c r="A26" s="38" t="n">
        <x:v>46019</x:v>
      </x:c>
      <x:c r="B26" s="18" t="n">
        <x:v>55</x:v>
      </x:c>
      <x:c r="C26" s="18" t="n">
        <x:v>2070363</x:v>
      </x:c>
      <x:c r="D26" s="18" t="n">
        <x:v>47440</x:v>
      </x:c>
      <x:c r="E26" s="18" t="n">
        <x:v>404</x:v>
      </x:c>
      <x:c r="F26" s="18" t="n">
        <x:v>169</x:v>
      </x:c>
      <x:c r="G26" s="18" t="n">
        <x:v>1168</x:v>
      </x:c>
      <x:c r="H26" s="18" t="n">
        <x:v>4</x:v>
      </x:c>
      <x:c r="I26" s="6"/>
      <x:c r="J26" s="6"/>
      <x:c r="K26" s="6"/>
      <x:c r="L26" s="6"/>
      <x:c r="M26" s="6"/>
      <x:c r="N26" s="6"/>
      <x:c r="O26" s="6"/>
      <x:c r="P26" s="6"/>
    </x:row>
    <x:row r="27" ht="24" customHeight="1">
      <x:c r="A27" s="38" t="n">
        <x:v>46031</x:v>
      </x:c>
      <x:c r="B27" s="18" t="n">
        <x:v>37</x:v>
      </x:c>
      <x:c r="C27" s="18" t="n">
        <x:v>1404317</x:v>
      </x:c>
      <x:c r="D27" s="18" t="n">
        <x:v>26254</x:v>
      </x:c>
      <x:c r="E27" s="18" t="n">
        <x:v>253</x:v>
      </x:c>
      <x:c r="F27" s="18" t="n">
        <x:v>95</x:v>
      </x:c>
      <x:c r="G27" s="18" t="n">
        <x:v>452</x:v>
      </x:c>
      <x:c r="H27" s="18" t="n">
        <x:v>4</x:v>
      </x:c>
      <x:c r="I27" s="6"/>
      <x:c r="J27" s="6"/>
      <x:c r="K27" s="6"/>
      <x:c r="L27" s="6"/>
      <x:c r="M27" s="6"/>
      <x:c r="N27" s="6"/>
      <x:c r="O27" s="6"/>
      <x:c r="P27" s="6"/>
    </x:row>
    <x:row r="28" ht="24" customHeight="1">
      <x:c r="A28" s="38" t="n">
        <x:v>46042</x:v>
      </x:c>
      <x:c r="B28" s="18" t="n">
        <x:v>279</x:v>
      </x:c>
      <x:c r="C28" s="18" t="n">
        <x:v>10576993</x:v>
      </x:c>
      <x:c r="D28" s="18" t="n">
        <x:v>271759</x:v>
      </x:c>
      <x:c r="E28" s="18" t="n">
        <x:v>2483</x:v>
      </x:c>
      <x:c r="F28" s="18" t="n">
        <x:v>769</x:v>
      </x:c>
      <x:c r="G28" s="18" t="n">
        <x:v>3794</x:v>
      </x:c>
      <x:c r="H28" s="18" t="n">
        <x:v>10</x:v>
      </x:c>
      <x:c r="I28" s="6"/>
      <x:c r="J28" s="6"/>
      <x:c r="K28" s="6"/>
      <x:c r="L28" s="6"/>
      <x:c r="M28" s="6"/>
      <x:c r="N28" s="6"/>
      <x:c r="O28" s="6"/>
      <x:c r="P28" s="6"/>
    </x:row>
    <x:row r="29" ht="24" customHeight="1">
      <x:c r="A29" s="38" t="n">
        <x:v>46054</x:v>
      </x:c>
      <x:c r="B29" s="18" t="n">
        <x:v>18</x:v>
      </x:c>
      <x:c r="C29" s="18" t="n">
        <x:v>690694</x:v>
      </x:c>
      <x:c r="D29" s="18" t="n">
        <x:v>17783</x:v>
      </x:c>
      <x:c r="E29" s="18" t="n">
        <x:v>161</x:v>
      </x:c>
      <x:c r="F29" s="18" t="n">
        <x:v>38</x:v>
      </x:c>
      <x:c r="G29" s="18" t="n">
        <x:v>257</x:v>
      </x:c>
      <x:c r="H29" s="18" t="n">
        <x:v>3</x:v>
      </x:c>
      <x:c r="I29" s="6"/>
      <x:c r="J29" s="6"/>
      <x:c r="K29" s="6"/>
      <x:c r="L29" s="6"/>
      <x:c r="M29" s="6"/>
      <x:c r="N29" s="6"/>
      <x:c r="O29" s="6"/>
      <x:c r="P29" s="6"/>
    </x:row>
    <x:row r="30" ht="24" customHeight="1">
      <x:c r="A30" s="38" t="n">
        <x:v>46066</x:v>
      </x:c>
      <x:c r="B30" s="18" t="n">
        <x:v>12</x:v>
      </x:c>
      <x:c r="C30" s="18" t="n">
        <x:v>470052</x:v>
      </x:c>
      <x:c r="D30" s="18" t="n">
        <x:v>9069</x:v>
      </x:c>
      <x:c r="E30" s="18" t="n">
        <x:v>113</x:v>
      </x:c>
      <x:c r="F30" s="18" t="n">
        <x:v>28</x:v>
      </x:c>
      <x:c r="G30" s="18" t="n">
        <x:v>257</x:v>
      </x:c>
      <x:c r="H30" s="18" t="n">
        <x:v>2</x:v>
      </x:c>
      <x:c r="I30" s="6"/>
      <x:c r="J30" s="6"/>
      <x:c r="K30" s="6"/>
      <x:c r="L30" s="6"/>
      <x:c r="M30" s="6"/>
      <x:c r="N30" s="6"/>
      <x:c r="O30" s="6"/>
      <x:c r="P30" s="6"/>
    </x:row>
    <x:row r="31" ht="24" customHeight="1">
      <x:c r="A31" s="38" t="n">
        <x:v>46077</x:v>
      </x:c>
      <x:c r="B31" s="18" t="n">
        <x:v>273</x:v>
      </x:c>
      <x:c r="C31" s="18" t="n">
        <x:v>10352331</x:v>
      </x:c>
      <x:c r="D31" s="18" t="n">
        <x:v>236089</x:v>
      </x:c>
      <x:c r="E31" s="18" t="n">
        <x:v>2937</x:v>
      </x:c>
      <x:c r="F31" s="18" t="n">
        <x:v>834</x:v>
      </x:c>
      <x:c r="G31" s="18" t="n">
        <x:v>5527</x:v>
      </x:c>
      <x:c r="H31" s="18" t="n">
        <x:v>10</x:v>
      </x:c>
      <x:c r="I31" s="6"/>
      <x:c r="J31" s="6"/>
      <x:c r="K31" s="6"/>
      <x:c r="L31" s="6"/>
      <x:c r="M31" s="6"/>
      <x:c r="N31" s="6"/>
      <x:c r="O31" s="6"/>
      <x:c r="P31" s="6"/>
    </x:row>
    <x:row r="32" ht="24" customHeight="1">
      <x:c r="A32" s="38" t="n">
        <x:v>46089</x:v>
      </x:c>
      <x:c r="B32" s="18" t="n">
        <x:v>15</x:v>
      </x:c>
      <x:c r="C32" s="18" t="n">
        <x:v>580415</x:v>
      </x:c>
      <x:c r="D32" s="18" t="n">
        <x:v>13674</x:v>
      </x:c>
      <x:c r="E32" s="18" t="n">
        <x:v>159</x:v>
      </x:c>
      <x:c r="F32" s="18" t="n">
        <x:v>40</x:v>
      </x:c>
      <x:c r="G32" s="18" t="n">
        <x:v>310</x:v>
      </x:c>
      <x:c r="H32" s="18" t="n">
        <x:v>2</x:v>
      </x:c>
      <x:c r="I32" s="6"/>
      <x:c r="J32" s="6"/>
      <x:c r="K32" s="6"/>
      <x:c r="L32" s="6"/>
      <x:c r="M32" s="6"/>
      <x:c r="N32" s="6"/>
      <x:c r="O32" s="6"/>
      <x:c r="P32" s="6"/>
    </x:row>
    <x:row r="33" ht="24" customHeight="1">
      <x:c r="A33" s="38" t="n">
        <x:v>46101</x:v>
      </x:c>
      <x:c r="B33" s="18" t="n">
        <x:v>38</x:v>
      </x:c>
      <x:c r="C33" s="18" t="n">
        <x:v>1422230</x:v>
      </x:c>
      <x:c r="D33" s="18" t="n">
        <x:v>29408</x:v>
      </x:c>
      <x:c r="E33" s="18" t="n">
        <x:v>463</x:v>
      </x:c>
      <x:c r="F33" s="18" t="n">
        <x:v>96</x:v>
      </x:c>
      <x:c r="G33" s="18" t="n">
        <x:v>568</x:v>
      </x:c>
      <x:c r="H33" s="18" t="n">
        <x:v>4</x:v>
      </x:c>
      <x:c r="I33" s="6"/>
      <x:c r="J33" s="6"/>
      <x:c r="K33" s="6"/>
      <x:c r="L33" s="6"/>
      <x:c r="M33" s="6"/>
      <x:c r="N33" s="6"/>
      <x:c r="O33" s="6"/>
      <x:c r="P33" s="6"/>
    </x:row>
    <x:row r="34" ht="24" customHeight="1">
      <x:c r="A34" s="38" t="n">
        <x:v>46112</x:v>
      </x:c>
      <x:c r="B34" s="18" t="n">
        <x:v>108</x:v>
      </x:c>
      <x:c r="C34" s="18" t="n">
        <x:v>4106579</x:v>
      </x:c>
      <x:c r="D34" s="18" t="n">
        <x:v>110161</x:v>
      </x:c>
      <x:c r="E34" s="18" t="n">
        <x:v>740</x:v>
      </x:c>
      <x:c r="F34" s="18" t="n">
        <x:v>302</x:v>
      </x:c>
      <x:c r="G34" s="18" t="n">
        <x:v>1413</x:v>
      </x:c>
      <x:c r="H34" s="18" t="n">
        <x:v>6</x:v>
      </x:c>
      <x:c r="I34" s="6"/>
      <x:c r="J34" s="6"/>
      <x:c r="K34" s="6"/>
      <x:c r="L34" s="6"/>
      <x:c r="M34" s="6"/>
      <x:c r="N34" s="6"/>
      <x:c r="O34" s="6"/>
      <x:c r="P34" s="6"/>
    </x:row>
    <x:row r="35" ht="24" customHeight="1">
      <x:c r="A35" s="38" t="n">
        <x:v>46124</x:v>
      </x:c>
      <x:c r="B35" s="18" t="n">
        <x:v>24</x:v>
      </x:c>
      <x:c r="C35" s="18" t="n">
        <x:v>895205</x:v>
      </x:c>
      <x:c r="D35" s="18" t="n">
        <x:v>19943</x:v>
      </x:c>
      <x:c r="E35" s="18" t="n">
        <x:v>206</x:v>
      </x:c>
      <x:c r="F35" s="18" t="n">
        <x:v>47</x:v>
      </x:c>
      <x:c r="G35" s="18" t="n">
        <x:v>467</x:v>
      </x:c>
      <x:c r="H35" s="18" t="n">
        <x:v>3</x:v>
      </x:c>
      <x:c r="I35" s="6"/>
      <x:c r="J35" s="6"/>
      <x:c r="K35" s="6"/>
      <x:c r="L35" s="6"/>
      <x:c r="M35" s="6"/>
      <x:c r="N35" s="6"/>
      <x:c r="O35" s="6"/>
      <x:c r="P35" s="6"/>
    </x:row>
    <x:row r="36" ht="24" customHeight="1">
      <x:c r="A36" s="38" t="n">
        <x:v>46136</x:v>
      </x:c>
      <x:c r="B36" s="18" t="n">
        <x:v>7</x:v>
      </x:c>
      <x:c r="C36" s="18" t="n">
        <x:v>271676</x:v>
      </x:c>
      <x:c r="D36" s="18" t="n">
        <x:v>5471</x:v>
      </x:c>
      <x:c r="E36" s="18" t="n">
        <x:v>60</x:v>
      </x:c>
      <x:c r="F36" s="18" t="n">
        <x:v>19</x:v>
      </x:c>
      <x:c r="G36" s="18" t="n">
        <x:v>132</x:v>
      </x:c>
      <x:c r="H36" s="18" t="n">
        <x:v>2</x:v>
      </x:c>
      <x:c r="I36" s="6"/>
      <x:c r="J36" s="6"/>
      <x:c r="K36" s="6"/>
      <x:c r="L36" s="6"/>
      <x:c r="M36" s="6"/>
      <x:c r="N36" s="6"/>
      <x:c r="O36" s="6"/>
      <x:c r="P36" s="6"/>
    </x:row>
    <x:row r="37" ht="24" customHeight="1">
      <x:c r="A37" s="38" t="n">
        <x:v>46147</x:v>
      </x:c>
      <x:c r="B37" s="18" t="n">
        <x:v>446</x:v>
      </x:c>
      <x:c r="C37" s="18" t="n">
        <x:v>16916305</x:v>
      </x:c>
      <x:c r="D37" s="18" t="n">
        <x:v>396744</x:v>
      </x:c>
      <x:c r="E37" s="18" t="n">
        <x:v>5166</x:v>
      </x:c>
      <x:c r="F37" s="18" t="n">
        <x:v>1116</x:v>
      </x:c>
      <x:c r="G37" s="18" t="n">
        <x:v>7836</x:v>
      </x:c>
      <x:c r="H37" s="18" t="n">
        <x:v>13</x:v>
      </x:c>
      <x:c r="I37" s="6"/>
      <x:c r="J37" s="6"/>
      <x:c r="K37" s="6"/>
      <x:c r="L37" s="6"/>
      <x:c r="M37" s="6"/>
      <x:c r="N37" s="6"/>
      <x:c r="O37" s="6"/>
      <x:c r="P37" s="6"/>
    </x:row>
    <x:row r="38" ht="24" customHeight="1">
      <x:c r="A38" s="38" t="n">
        <x:v>46159</x:v>
      </x:c>
      <x:c r="B38" s="18" t="n">
        <x:v>5</x:v>
      </x:c>
      <x:c r="C38" s="18" t="n">
        <x:v>178208</x:v>
      </x:c>
      <x:c r="D38" s="18" t="n">
        <x:v>4523</x:v>
      </x:c>
      <x:c r="E38" s="18" t="n">
        <x:v>37</x:v>
      </x:c>
      <x:c r="F38" s="18" t="n">
        <x:v>14</x:v>
      </x:c>
      <x:c r="G38" s="18" t="n">
        <x:v>100</x:v>
      </x:c>
      <x:c r="H38" s="18" t="n">
        <x:v>1</x:v>
      </x:c>
      <x:c r="I38" s="6"/>
      <x:c r="J38" s="6"/>
      <x:c r="K38" s="6"/>
      <x:c r="L38" s="6"/>
      <x:c r="M38" s="6"/>
      <x:c r="N38" s="6"/>
      <x:c r="O38" s="6"/>
      <x:c r="P38" s="6"/>
    </x:row>
    <x:row r="39" ht="24" customHeight="1">
      <x:c r="A39" s="38" t="n">
        <x:v>46171</x:v>
      </x:c>
      <x:c r="B39" s="18" t="n">
        <x:v>2</x:v>
      </x:c>
      <x:c r="C39" s="18" t="n">
        <x:v>63709</x:v>
      </x:c>
      <x:c r="D39" s="18" t="n">
        <x:v>1276</x:v>
      </x:c>
      <x:c r="E39" s="18" t="n">
        <x:v>12</x:v>
      </x:c>
      <x:c r="F39" s="18" t="n">
        <x:v>3</x:v>
      </x:c>
      <x:c r="G39" s="18" t="n">
        <x:v>30</x:v>
      </x:c>
      <x:c r="H39" s="18" t="n">
        <x:v>1</x:v>
      </x:c>
      <x:c r="I39" s="6"/>
      <x:c r="J39" s="6"/>
      <x:c r="K39" s="6"/>
      <x:c r="L39" s="6"/>
      <x:c r="M39" s="6"/>
      <x:c r="N39" s="6"/>
      <x:c r="O39" s="6"/>
      <x:c r="P39" s="6"/>
    </x:row>
    <x:row r="40" ht="24" customHeight="1">
      <x:c r="A40" s="38" t="n">
        <x:v>46182</x:v>
      </x:c>
      <x:c r="B40" s="18" t="n">
        <x:v>54</x:v>
      </x:c>
      <x:c r="C40" s="18" t="n">
        <x:v>2046915</x:v>
      </x:c>
      <x:c r="D40" s="18" t="n">
        <x:v>43292</x:v>
      </x:c>
      <x:c r="E40" s="18" t="n">
        <x:v>486</x:v>
      </x:c>
      <x:c r="F40" s="18" t="n">
        <x:v>164</x:v>
      </x:c>
      <x:c r="G40" s="18" t="n">
        <x:v>624</x:v>
      </x:c>
      <x:c r="H40" s="18" t="n">
        <x:v>4</x:v>
      </x:c>
      <x:c r="I40" s="6"/>
      <x:c r="J40" s="6"/>
      <x:c r="K40" s="6"/>
      <x:c r="L40" s="6"/>
      <x:c r="M40" s="6"/>
      <x:c r="N40" s="6"/>
      <x:c r="O40" s="6"/>
      <x:c r="P40" s="6"/>
    </x:row>
    <x:row r="41" ht="24" customHeight="1">
      <x:c r="A41" s="38" t="n">
        <x:v>46194</x:v>
      </x:c>
      <x:c r="B41" s="18" t="n">
        <x:v>42</x:v>
      </x:c>
      <x:c r="C41" s="18" t="n">
        <x:v>1578201</x:v>
      </x:c>
      <x:c r="D41" s="18" t="n">
        <x:v>44296</x:v>
      </x:c>
      <x:c r="E41" s="18" t="n">
        <x:v>368</x:v>
      </x:c>
      <x:c r="F41" s="18" t="n">
        <x:v>83</x:v>
      </x:c>
      <x:c r="G41" s="18" t="n">
        <x:v>816</x:v>
      </x:c>
      <x:c r="H41" s="18" t="n">
        <x:v>4</x:v>
      </x:c>
      <x:c r="I41" s="6"/>
      <x:c r="J41" s="6"/>
      <x:c r="K41" s="6"/>
      <x:c r="L41" s="6"/>
      <x:c r="M41" s="6"/>
      <x:c r="N41" s="6"/>
      <x:c r="O41" s="6"/>
      <x:c r="P41" s="6"/>
    </x:row>
    <x:row r="42" ht="24" customHeight="1">
      <x:c r="A42" s="38" t="n">
        <x:v>46206</x:v>
      </x:c>
      <x:c r="B42" s="18" t="n">
        <x:v>7</x:v>
      </x:c>
      <x:c r="C42" s="18" t="n">
        <x:v>275418</x:v>
      </x:c>
      <x:c r="D42" s="18" t="n">
        <x:v>6768</x:v>
      </x:c>
      <x:c r="E42" s="18" t="n">
        <x:v>58</x:v>
      </x:c>
      <x:c r="F42" s="18" t="n">
        <x:v>15</x:v>
      </x:c>
      <x:c r="G42" s="18" t="n">
        <x:v>105</x:v>
      </x:c>
      <x:c r="H42" s="18" t="n">
        <x:v>2</x:v>
      </x:c>
      <x:c r="I42" s="6"/>
      <x:c r="J42" s="6"/>
      <x:c r="K42" s="6"/>
      <x:c r="L42" s="6"/>
      <x:c r="M42" s="6"/>
      <x:c r="N42" s="6"/>
      <x:c r="O42" s="6"/>
      <x:c r="P42" s="6"/>
    </x:row>
    <x:row r="43" ht="24" customHeight="1">
      <x:c r="A43" s="38" t="n">
        <x:v>46217</x:v>
      </x:c>
      <x:c r="B43" s="18" t="n">
        <x:v>28</x:v>
      </x:c>
      <x:c r="C43" s="18" t="n">
        <x:v>1047604</x:v>
      </x:c>
      <x:c r="D43" s="18" t="n">
        <x:v>23497</x:v>
      </x:c>
      <x:c r="E43" s="18" t="n">
        <x:v>215</x:v>
      </x:c>
      <x:c r="F43" s="18" t="n">
        <x:v>72</x:v>
      </x:c>
      <x:c r="G43" s="18" t="n">
        <x:v>499</x:v>
      </x:c>
      <x:c r="H43" s="18" t="n">
        <x:v>3</x:v>
      </x:c>
      <x:c r="I43" s="6"/>
      <x:c r="J43" s="6"/>
      <x:c r="K43" s="6"/>
      <x:c r="L43" s="6"/>
      <x:c r="M43" s="6"/>
      <x:c r="N43" s="6"/>
      <x:c r="O43" s="6"/>
      <x:c r="P43" s="6"/>
    </x:row>
    <x:row r="44" ht="24" customHeight="1">
      <x:c r="A44" s="38" t="n">
        <x:v>46229</x:v>
      </x:c>
      <x:c r="B44" s="18" t="n">
        <x:v>173</x:v>
      </x:c>
      <x:c r="C44" s="18" t="n">
        <x:v>6580935</x:v>
      </x:c>
      <x:c r="D44" s="18" t="n">
        <x:v>152898</x:v>
      </x:c>
      <x:c r="E44" s="18" t="n">
        <x:v>2076</x:v>
      </x:c>
      <x:c r="F44" s="18" t="n">
        <x:v>470</x:v>
      </x:c>
      <x:c r="G44" s="18" t="n">
        <x:v>3614</x:v>
      </x:c>
      <x:c r="H44" s="18" t="n">
        <x:v>8</x:v>
      </x:c>
      <x:c r="I44" s="6"/>
      <x:c r="J44" s="6"/>
      <x:c r="K44" s="6"/>
      <x:c r="L44" s="6"/>
      <x:c r="M44" s="6"/>
      <x:c r="N44" s="6"/>
      <x:c r="O44" s="6"/>
      <x:c r="P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081eda05b60740c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8" hidden="0" customWidth="1"/>
    <x:col min="3" max="3" width="34" hidden="0" customWidth="1"/>
    <x:col min="4" max="4" width="54" hidden="0" customWidth="1"/>
  </x:cols>
  <x:sheetData>
    <x:row r="1" ht="34" customHeight="1">
      <x:c r="A1" s="8" t="str">
        <x:v>Metadata &amp; Export Contract</x:v>
      </x:c>
      <x:c r="B1" s="8"/>
      <x:c r="C1" s="8"/>
      <x:c r="D1" s="8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</x:row>
    <x:row r="2" ht="22" customHeight="1">
      <x:c r="A2" s="10" t="str">
        <x:v>Stable table names and schema notes for wiring this workbook into the VS Code extension.</x:v>
      </x:c>
      <x:c r="B2" s="10"/>
      <x:c r="C2" s="10"/>
      <x:c r="D2" s="10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</x:row>
    <x:row r="3">
      <x:c r="A3" s="6"/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</x:row>
    <x:row r="4" ht="26" customHeight="1">
      <x:c r="A4" s="13" t="str">
        <x:v>Key</x:v>
      </x:c>
      <x:c r="B4" s="13" t="str">
        <x:v>Value</x:v>
      </x:c>
      <x:c r="C4" s="13" t="str">
        <x:v>Description</x:v>
      </x:c>
      <x:c r="D4" s="6"/>
      <x:c r="E4" s="6"/>
      <x:c r="F4" s="6"/>
      <x:c r="G4" s="6"/>
      <x:c r="H4" s="6"/>
      <x:c r="I4" s="6"/>
      <x:c r="J4" s="6"/>
      <x:c r="K4" s="6"/>
      <x:c r="L4" s="6"/>
      <x:c r="M4" s="6"/>
      <x:c r="N4" s="6"/>
      <x:c r="O4" s="6"/>
      <x:c r="P4" s="6"/>
    </x:row>
    <x:row r="5" ht="24" customHeight="1">
      <x:c r="A5" s="40" t="str">
        <x:v>Schema Version</x:v>
      </x:c>
      <x:c r="B5" s="16" t="str">
        <x:v>1.0.0</x:v>
      </x:c>
      <x:c r="C5" s="36" t="str">
        <x:v>Increment when column names or meanings change.</x:v>
      </x:c>
      <x:c r="D5" s="6"/>
      <x:c r="E5" s="6"/>
      <x:c r="F5" s="6"/>
      <x:c r="G5" s="6"/>
      <x:c r="H5" s="6"/>
      <x:c r="I5" s="6"/>
      <x:c r="J5" s="6"/>
      <x:c r="K5" s="6"/>
      <x:c r="L5" s="6"/>
      <x:c r="M5" s="6"/>
      <x:c r="N5" s="6"/>
      <x:c r="O5" s="6"/>
      <x:c r="P5" s="6"/>
    </x:row>
    <x:row r="6" ht="24" customHeight="1">
      <x:c r="A6" s="40" t="str">
        <x:v>Template Version</x:v>
      </x:c>
      <x:c r="B6" s="16" t="str">
        <x:v>1.0.0</x:v>
      </x:c>
      <x:c r="C6" s="36" t="str">
        <x:v>Workbook layout version.</x:v>
      </x:c>
      <x:c r="D6" s="6"/>
      <x:c r="E6" s="6"/>
      <x:c r="F6" s="6"/>
      <x:c r="G6" s="6"/>
      <x:c r="H6" s="6"/>
      <x:c r="I6" s="6"/>
      <x:c r="J6" s="6"/>
      <x:c r="K6" s="6"/>
      <x:c r="L6" s="6"/>
      <x:c r="M6" s="6"/>
      <x:c r="N6" s="6"/>
      <x:c r="O6" s="6"/>
      <x:c r="P6" s="6"/>
    </x:row>
    <x:row r="7" ht="24" customHeight="1">
      <x:c r="A7" s="40" t="str">
        <x:v>Extension Version</x:v>
      </x:c>
      <x:c r="B7" s="16" t="str">
        <x:v>sample</x:v>
      </x:c>
      <x:c r="C7" s="36" t="str">
        <x:v>Replace with the exporting extension version.</x:v>
      </x:c>
      <x:c r="D7" s="6"/>
      <x:c r="E7" s="6"/>
      <x:c r="F7" s="6"/>
      <x:c r="G7" s="6"/>
      <x:c r="H7" s="6"/>
      <x:c r="I7" s="6"/>
      <x:c r="J7" s="6"/>
      <x:c r="K7" s="6"/>
      <x:c r="L7" s="6"/>
      <x:c r="M7" s="6"/>
      <x:c r="N7" s="6"/>
      <x:c r="O7" s="6"/>
      <x:c r="P7" s="6"/>
    </x:row>
    <x:row r="8" ht="24" customHeight="1">
      <x:c r="A8" s="40" t="str">
        <x:v>Generated At</x:v>
      </x:c>
      <x:c r="B8" s="16" t="n">
        <x:v>46239.85763888889</x:v>
      </x:c>
      <x:c r="C8" s="36" t="str">
        <x:v>Use local time and record the timezone.</x:v>
      </x:c>
      <x:c r="D8" s="6"/>
      <x:c r="E8" s="6"/>
      <x:c r="F8" s="6"/>
      <x:c r="G8" s="6"/>
      <x:c r="H8" s="6"/>
      <x:c r="I8" s="6"/>
      <x:c r="J8" s="6"/>
      <x:c r="K8" s="6"/>
      <x:c r="L8" s="6"/>
      <x:c r="M8" s="6"/>
      <x:c r="N8" s="6"/>
      <x:c r="O8" s="6"/>
      <x:c r="P8" s="6"/>
    </x:row>
    <x:row r="9" ht="24" customHeight="1">
      <x:c r="A9" s="40" t="str">
        <x:v>Timezone</x:v>
      </x:c>
      <x:c r="B9" s="16" t="str">
        <x:v>Europe/Berlin (+02:00)</x:v>
      </x:c>
      <x:c r="C9" s="36" t="str">
        <x:v>Timezone used for daily aggregation.</x:v>
      </x:c>
      <x:c r="D9" s="6"/>
      <x:c r="E9" s="6"/>
      <x:c r="F9" s="6"/>
      <x:c r="G9" s="6"/>
      <x:c r="H9" s="6"/>
      <x:c r="I9" s="6"/>
      <x:c r="J9" s="6"/>
      <x:c r="K9" s="6"/>
      <x:c r="L9" s="6"/>
      <x:c r="M9" s="6"/>
      <x:c r="N9" s="6"/>
      <x:c r="O9" s="6"/>
      <x:c r="P9" s="6"/>
    </x:row>
    <x:row r="10" ht="24" customHeight="1">
      <x:c r="A10" s="40" t="str">
        <x:v>Range Start</x:v>
      </x:c>
      <x:c r="B10" s="16" t="n">
        <x:v>45774</x:v>
      </x:c>
      <x:c r="C10" s="36" t="str">
        <x:v>Earliest included usage date.</x:v>
      </x:c>
      <x:c r="D10" s="6"/>
      <x:c r="E10" s="6"/>
      <x:c r="F10" s="6"/>
      <x:c r="G10" s="6"/>
      <x:c r="H10" s="6"/>
      <x:c r="I10" s="6"/>
      <x:c r="J10" s="6"/>
      <x:c r="K10" s="6"/>
      <x:c r="L10" s="6"/>
      <x:c r="M10" s="6"/>
      <x:c r="N10" s="6"/>
      <x:c r="O10" s="6"/>
      <x:c r="P10" s="6"/>
    </x:row>
    <x:row r="11" ht="24" customHeight="1">
      <x:c r="A11" s="40" t="str">
        <x:v>Range End</x:v>
      </x:c>
      <x:c r="B11" s="16" t="n">
        <x:v>46229</x:v>
      </x:c>
      <x:c r="C11" s="36" t="str">
        <x:v>Latest included usage date.</x:v>
      </x:c>
      <x:c r="D11" s="6"/>
      <x:c r="E11" s="6"/>
      <x:c r="F11" s="6"/>
      <x:c r="G11" s="6"/>
      <x:c r="H11" s="6"/>
      <x:c r="I11" s="6"/>
      <x:c r="J11" s="6"/>
      <x:c r="K11" s="6"/>
      <x:c r="L11" s="6"/>
      <x:c r="M11" s="6"/>
      <x:c r="N11" s="6"/>
      <x:c r="O11" s="6"/>
      <x:c r="P11" s="6"/>
    </x:row>
    <x:row r="12" ht="24" customHeight="1">
      <x:c r="A12" s="40" t="str">
        <x:v>Sessions</x:v>
      </x:c>
      <x:c r="B12" s="16" t="n">
        <x:v>157</x:v>
      </x:c>
      <x:c r="C12" s="36" t="str">
        <x:v>Distinct sessions in the selected range.</x:v>
      </x:c>
      <x:c r="D12" s="6"/>
      <x:c r="E12" s="6"/>
      <x:c r="F12" s="6"/>
      <x:c r="G12" s="6"/>
      <x:c r="H12" s="6"/>
      <x:c r="I12" s="6"/>
      <x:c r="J12" s="6"/>
      <x:c r="K12" s="6"/>
      <x:c r="L12" s="6"/>
      <x:c r="M12" s="6"/>
      <x:c r="N12" s="6"/>
      <x:c r="O12" s="6"/>
      <x:c r="P12" s="6"/>
    </x:row>
    <x:row r="13" ht="24" customHeight="1">
      <x:c r="A13" s="40" t="str">
        <x:v>Workspace Paths</x:v>
      </x:c>
      <x:c r="B13" s="16" t="str">
        <x:v>Shortened</x:v>
      </x:c>
      <x:c r="C13" s="36" t="str">
        <x:v>Recommended privacy default.</x:v>
      </x:c>
      <x:c r="D13" s="6"/>
      <x:c r="E13" s="6"/>
      <x:c r="F13" s="6"/>
      <x:c r="G13" s="6"/>
      <x:c r="H13" s="6"/>
      <x:c r="I13" s="6"/>
      <x:c r="J13" s="6"/>
      <x:c r="K13" s="6"/>
      <x:c r="L13" s="6"/>
      <x:c r="M13" s="6"/>
      <x:c r="N13" s="6"/>
      <x:c r="O13" s="6"/>
      <x:c r="P13" s="6"/>
    </x:row>
    <x:row r="14" ht="24" customHeight="1">
      <x:c r="A14" s="40" t="str">
        <x:v>Prompt Content Included</x:v>
      </x:c>
      <x:c r="B14" s="16" t="str">
        <x:v>No</x:v>
      </x:c>
      <x:c r="C14" s="36" t="str">
        <x:v>Never include prompt text or source code in this aggregate export.</x:v>
      </x:c>
      <x:c r="D14" s="6"/>
      <x:c r="E14" s="6"/>
      <x:c r="F14" s="6"/>
      <x:c r="G14" s="6"/>
      <x:c r="H14" s="6"/>
      <x:c r="I14" s="6"/>
      <x:c r="J14" s="6"/>
      <x:c r="K14" s="6"/>
      <x:c r="L14" s="6"/>
      <x:c r="M14" s="6"/>
      <x:c r="N14" s="6"/>
      <x:c r="O14" s="6"/>
      <x:c r="P14" s="6"/>
    </x:row>
    <x:row r="15" ht="24" customHeight="1">
      <x:c r="A15" s="40" t="str">
        <x:v>Date Range</x:v>
      </x:c>
      <x:c r="B15" s="16" t="str">
        <x:v>all</x:v>
      </x:c>
      <x:c r="C15" s="36" t="str">
        <x:v>Date range filter applied when the report was exported.</x:v>
      </x:c>
      <x:c r="D15" s="6"/>
      <x:c r="E15" s="6"/>
      <x:c r="F15" s="6"/>
      <x:c r="G15" s="6"/>
      <x:c r="H15" s="6"/>
      <x:c r="I15" s="6"/>
      <x:c r="J15" s="6"/>
      <x:c r="K15" s="6"/>
      <x:c r="L15" s="6"/>
      <x:c r="M15" s="6"/>
      <x:c r="N15" s="6"/>
      <x:c r="O15" s="6"/>
      <x:c r="P15" s="6"/>
    </x:row>
    <x:row r="16">
      <x:c r="A16" s="6"/>
      <x:c r="B16" s="6"/>
      <x:c r="C16" s="6"/>
      <x:c r="D16" s="6"/>
      <x:c r="E16" s="6"/>
      <x:c r="F16" s="6"/>
      <x:c r="G16" s="6"/>
      <x:c r="H16" s="6"/>
      <x:c r="I16" s="6"/>
      <x:c r="J16" s="6"/>
      <x:c r="K16" s="6"/>
      <x:c r="L16" s="6"/>
      <x:c r="M16" s="6"/>
      <x:c r="N16" s="6"/>
      <x:c r="O16" s="6"/>
      <x:c r="P16" s="6"/>
    </x:row>
    <x:row r="17" ht="28" customHeight="1">
      <x:c r="A17" s="42" t="str">
        <x:v>Table contract</x:v>
      </x:c>
      <x:c r="B17" s="42"/>
      <x:c r="C17" s="42"/>
      <x:c r="D17" s="42"/>
      <x:c r="E17" s="6"/>
      <x:c r="F17" s="6"/>
      <x:c r="G17" s="6"/>
      <x:c r="H17" s="6"/>
      <x:c r="I17" s="6"/>
      <x:c r="J17" s="6"/>
      <x:c r="K17" s="6"/>
      <x:c r="L17" s="6"/>
      <x:c r="M17" s="6"/>
      <x:c r="N17" s="6"/>
      <x:c r="O17" s="6"/>
      <x:c r="P17" s="6"/>
    </x:row>
    <x:row r="18" ht="26" customHeight="1">
      <x:c r="A18" s="13" t="str">
        <x:v>Table Name</x:v>
      </x:c>
      <x:c r="B18" s="13" t="str">
        <x:v>Sheet</x:v>
      </x:c>
      <x:c r="C18" s="13" t="str">
        <x:v>Purpose</x:v>
      </x:c>
      <x:c r="D18" s="13" t="str">
        <x:v>Extension action</x:v>
      </x:c>
      <x:c r="E18" s="6"/>
      <x:c r="F18" s="6"/>
      <x:c r="G18" s="6"/>
      <x:c r="H18" s="6"/>
      <x:c r="I18" s="6"/>
      <x:c r="J18" s="6"/>
      <x:c r="K18" s="6"/>
      <x:c r="L18" s="6"/>
      <x:c r="M18" s="6"/>
      <x:c r="N18" s="6"/>
      <x:c r="O18" s="6"/>
      <x:c r="P18" s="6"/>
    </x:row>
    <x:row r="19" ht="24" customHeight="1">
      <x:c r="A19" s="16" t="str">
        <x:v>ModelsTable</x:v>
      </x:c>
      <x:c r="B19" s="16" t="str">
        <x:v>Models</x:v>
      </x:c>
      <x:c r="C19" s="16" t="str">
        <x:v>One row per model</x:v>
      </x:c>
      <x:c r="D19" s="36" t="str">
        <x:v>Clear data rows, append export rows, preserve headers.</x:v>
      </x:c>
      <x:c r="E19" s="6"/>
      <x:c r="F19" s="6"/>
      <x:c r="G19" s="6"/>
      <x:c r="H19" s="6"/>
      <x:c r="I19" s="6"/>
      <x:c r="J19" s="6"/>
      <x:c r="K19" s="6"/>
      <x:c r="L19" s="6"/>
      <x:c r="M19" s="6"/>
      <x:c r="N19" s="6"/>
      <x:c r="O19" s="6"/>
      <x:c r="P19" s="6"/>
    </x:row>
    <x:row r="20" ht="24" customHeight="1">
      <x:c r="A20" s="16" t="str">
        <x:v>ReposTable</x:v>
      </x:c>
      <x:c r="B20" s="16" t="str">
        <x:v>Repos</x:v>
      </x:c>
      <x:c r="C20" s="16" t="str">
        <x:v>One row per repository attribution</x:v>
      </x:c>
      <x:c r="D20" s="36" t="str">
        <x:v>Clear data rows, append export rows, preserve headers.</x:v>
      </x:c>
      <x:c r="E20" s="6"/>
      <x:c r="F20" s="6"/>
      <x:c r="G20" s="6"/>
      <x:c r="H20" s="6"/>
      <x:c r="I20" s="6"/>
      <x:c r="J20" s="6"/>
      <x:c r="K20" s="6"/>
      <x:c r="L20" s="6"/>
      <x:c r="M20" s="6"/>
      <x:c r="N20" s="6"/>
      <x:c r="O20" s="6"/>
      <x:c r="P20" s="6"/>
    </x:row>
    <x:row r="21" ht="24" customHeight="1">
      <x:c r="A21" s="16" t="str">
        <x:v>WorkspacesTable</x:v>
      </x:c>
      <x:c r="B21" s="16" t="str">
        <x:v>Workspaces</x:v>
      </x:c>
      <x:c r="C21" s="16" t="str">
        <x:v>One row per workspace</x:v>
      </x:c>
      <x:c r="D21" s="36" t="str">
        <x:v>Clear data rows, append export rows, preserve headers.</x:v>
      </x:c>
      <x:c r="E21" s="6"/>
      <x:c r="F21" s="6"/>
      <x:c r="G21" s="6"/>
      <x:c r="H21" s="6"/>
      <x:c r="I21" s="6"/>
      <x:c r="J21" s="6"/>
      <x:c r="K21" s="6"/>
      <x:c r="L21" s="6"/>
      <x:c r="M21" s="6"/>
      <x:c r="N21" s="6"/>
      <x:c r="O21" s="6"/>
      <x:c r="P21" s="6"/>
    </x:row>
    <x:row r="22" ht="24" customHeight="1">
      <x:c r="A22" s="16" t="str">
        <x:v>DailyUsageTable</x:v>
      </x:c>
      <x:c r="B22" s="16" t="str">
        <x:v>DailyData</x:v>
      </x:c>
      <x:c r="C22" s="16" t="str">
        <x:v>One row per date</x:v>
      </x:c>
      <x:c r="D22" s="36" t="str">
        <x:v>Clear data rows, append export rows and update dashboard chart ranges.</x:v>
      </x:c>
      <x:c r="E22" s="6"/>
      <x:c r="F22" s="6"/>
      <x:c r="G22" s="6"/>
      <x:c r="H22" s="6"/>
      <x:c r="I22" s="6"/>
      <x:c r="J22" s="6"/>
      <x:c r="K22" s="6"/>
      <x:c r="L22" s="6"/>
      <x:c r="M22" s="6"/>
      <x:c r="N22" s="6"/>
      <x:c r="O22" s="6"/>
      <x:c r="P22" s="6"/>
    </x:row>
    <x:row r="23" ht="24" customHeight="1">
      <x:c r="A23" s="16" t="str">
        <x:v>ExportMetadataTable</x:v>
      </x:c>
      <x:c r="B23" s="16" t="str">
        <x:v>Metadata</x:v>
      </x:c>
      <x:c r="C23" s="16" t="str">
        <x:v>Export metadata</x:v>
      </x:c>
      <x:c r="D23" s="36" t="str">
        <x:v>Update values by matching the Key column.</x:v>
      </x:c>
      <x:c r="E23" s="6"/>
      <x:c r="F23" s="6"/>
      <x:c r="G23" s="6"/>
      <x:c r="H23" s="6"/>
      <x:c r="I23" s="6"/>
      <x:c r="J23" s="6"/>
      <x:c r="K23" s="6"/>
      <x:c r="L23" s="6"/>
      <x:c r="M23" s="6"/>
      <x:c r="N23" s="6"/>
      <x:c r="O23" s="6"/>
      <x:c r="P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  <x:c r="L24" s="6"/>
      <x:c r="M24" s="6"/>
      <x:c r="N24" s="6"/>
      <x:c r="O24" s="6"/>
      <x:c r="P24" s="6"/>
    </x:row>
    <x:row r="25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  <x:c r="L25" s="6"/>
      <x:c r="M25" s="6"/>
      <x:c r="N25" s="6"/>
      <x:c r="O25" s="6"/>
      <x:c r="P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6"/>
      <x:c r="P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  <x:c r="N31" s="6"/>
      <x:c r="O31" s="6"/>
      <x:c r="P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  <x:c r="M32" s="6"/>
      <x:c r="N32" s="6"/>
      <x:c r="O32" s="6"/>
      <x:c r="P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  <x:c r="N33" s="6"/>
      <x:c r="O33" s="6"/>
      <x:c r="P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  <x:c r="M34" s="6"/>
      <x:c r="N34" s="6"/>
      <x:c r="O34" s="6"/>
      <x:c r="P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  <x:c r="M35" s="6"/>
      <x:c r="N35" s="6"/>
      <x:c r="O35" s="6"/>
      <x:c r="P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</x:row>
  </x:sheetData>
  <x:mergeCells>
    <x:mergeCell ref="A1:D1"/>
    <x:mergeCell ref="A2:D2"/>
    <x:mergeCell ref="A17:D17"/>
  </x:mergeCells>
  <x:pageMargins left="0.7" right="0.7" top="0.75" bottom="0.75" header="0.3" footer="0.3"/>
  <x:tableParts count="2">
    <x:tablePart xmlns:r="http://schemas.openxmlformats.org/officeDocument/2006/relationships" r:id="Rf09e7e9a3c81462b"/>
    <x:tablePart xmlns:r="http://schemas.openxmlformats.org/officeDocument/2006/relationships" r:id="Ra43c8341c9204619"/>
  </x:tableParts>
</x:worksheet>
</file>