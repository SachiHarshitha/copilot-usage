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101_CodeProjects\copilot-token-estimator\apps\vscode-extension\resources\"/>
    </mc:Choice>
  </mc:AlternateContent>
  <xr:revisionPtr revIDLastSave="0" documentId="13_ncr:1_{A7E76334-1ACA-4512-AA58-817A8B1E08F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shboard" sheetId="1" r:id="rId1"/>
    <sheet name="Models" sheetId="2" r:id="rId2"/>
    <sheet name="Repos" sheetId="3" r:id="rId3"/>
    <sheet name="Workspaces" sheetId="4" r:id="rId4"/>
    <sheet name="DailyData" sheetId="5" r:id="rId5"/>
    <sheet name="Meta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4" l="1"/>
  <c r="F36" i="4"/>
  <c r="E36" i="4"/>
  <c r="D36" i="4"/>
  <c r="C36" i="4"/>
  <c r="B36" i="4"/>
  <c r="E34" i="4"/>
  <c r="I34" i="4" s="1"/>
  <c r="E33" i="4"/>
  <c r="I33" i="4" s="1"/>
  <c r="I32" i="4"/>
  <c r="E32" i="4"/>
  <c r="E31" i="4"/>
  <c r="I31" i="4" s="1"/>
  <c r="E30" i="4"/>
  <c r="I30" i="4" s="1"/>
  <c r="E29" i="4"/>
  <c r="I29" i="4" s="1"/>
  <c r="E28" i="4"/>
  <c r="I27" i="4"/>
  <c r="E27" i="4"/>
  <c r="E26" i="4"/>
  <c r="I26" i="4" s="1"/>
  <c r="E25" i="4"/>
  <c r="I25" i="4" s="1"/>
  <c r="E24" i="4"/>
  <c r="E23" i="4"/>
  <c r="I23" i="4" s="1"/>
  <c r="E22" i="4"/>
  <c r="I22" i="4" s="1"/>
  <c r="E21" i="4"/>
  <c r="I21" i="4" s="1"/>
  <c r="E20" i="4"/>
  <c r="I19" i="4"/>
  <c r="E19" i="4"/>
  <c r="E18" i="4"/>
  <c r="I18" i="4" s="1"/>
  <c r="E17" i="4"/>
  <c r="I17" i="4" s="1"/>
  <c r="E16" i="4"/>
  <c r="E15" i="4"/>
  <c r="I15" i="4" s="1"/>
  <c r="E14" i="4"/>
  <c r="I14" i="4" s="1"/>
  <c r="E13" i="4"/>
  <c r="I13" i="4" s="1"/>
  <c r="E12" i="4"/>
  <c r="I11" i="4"/>
  <c r="E11" i="4"/>
  <c r="E10" i="4"/>
  <c r="I10" i="4" s="1"/>
  <c r="E9" i="4"/>
  <c r="I9" i="4" s="1"/>
  <c r="E8" i="4"/>
  <c r="E7" i="4"/>
  <c r="I7" i="4" s="1"/>
  <c r="E6" i="4"/>
  <c r="I28" i="4" s="1"/>
  <c r="E5" i="4"/>
  <c r="I5" i="4" s="1"/>
  <c r="H20" i="3"/>
  <c r="G20" i="3"/>
  <c r="D20" i="3"/>
  <c r="C20" i="3"/>
  <c r="B20" i="3"/>
  <c r="E18" i="3"/>
  <c r="F18" i="3" s="1"/>
  <c r="E17" i="3"/>
  <c r="F17" i="3" s="1"/>
  <c r="E16" i="3"/>
  <c r="F16" i="3" s="1"/>
  <c r="E15" i="3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E6" i="3"/>
  <c r="F6" i="3" s="1"/>
  <c r="E5" i="3"/>
  <c r="F15" i="3" s="1"/>
  <c r="G21" i="2"/>
  <c r="F21" i="2"/>
  <c r="D21" i="2"/>
  <c r="C21" i="2"/>
  <c r="B21" i="2"/>
  <c r="E19" i="2"/>
  <c r="H19" i="2" s="1"/>
  <c r="E18" i="2"/>
  <c r="H18" i="2" s="1"/>
  <c r="E17" i="2"/>
  <c r="H17" i="2" s="1"/>
  <c r="E16" i="2"/>
  <c r="E15" i="2"/>
  <c r="E14" i="2"/>
  <c r="H14" i="2" s="1"/>
  <c r="H13" i="2"/>
  <c r="E13" i="2"/>
  <c r="E12" i="2"/>
  <c r="H5" i="2" s="1"/>
  <c r="E11" i="2"/>
  <c r="H11" i="2" s="1"/>
  <c r="E10" i="2"/>
  <c r="H10" i="2" s="1"/>
  <c r="E9" i="2"/>
  <c r="H9" i="2" s="1"/>
  <c r="E8" i="2"/>
  <c r="E7" i="2"/>
  <c r="E6" i="2"/>
  <c r="H15" i="2" s="1"/>
  <c r="E5" i="2"/>
  <c r="M13" i="1"/>
  <c r="I13" i="1"/>
  <c r="E13" i="1"/>
  <c r="A13" i="1"/>
  <c r="M10" i="1"/>
  <c r="I10" i="1"/>
  <c r="E10" i="1"/>
  <c r="A10" i="1"/>
  <c r="M8" i="1"/>
  <c r="I8" i="1"/>
  <c r="E8" i="1"/>
  <c r="A8" i="1"/>
  <c r="M5" i="1"/>
  <c r="I5" i="1"/>
  <c r="E5" i="1"/>
  <c r="A5" i="1"/>
  <c r="H21" i="2" l="1"/>
  <c r="I6" i="4"/>
  <c r="E21" i="2"/>
  <c r="H12" i="2"/>
  <c r="I8" i="4"/>
  <c r="I16" i="4"/>
  <c r="I24" i="4"/>
  <c r="E20" i="3"/>
  <c r="H6" i="2"/>
  <c r="F5" i="3"/>
  <c r="H8" i="2"/>
  <c r="H16" i="2"/>
  <c r="I12" i="4"/>
  <c r="I36" i="4" s="1"/>
  <c r="I20" i="4"/>
  <c r="H7" i="2"/>
  <c r="F7" i="3"/>
  <c r="F20" i="3" l="1"/>
</calcChain>
</file>

<file path=xl/sharedStrings.xml><?xml version="1.0" encoding="utf-8"?>
<sst xmlns="http://schemas.openxmlformats.org/spreadsheetml/2006/main" count="237" uniqueCount="154">
  <si>
    <t>Copilot Usage — All Workspaces</t>
  </si>
  <si>
    <t>Sample data • 2025-04-27 → 2026-07-26 • Template schema 1.0.0</t>
  </si>
  <si>
    <t>Requests</t>
  </si>
  <si>
    <t>Prompt Tokens</t>
  </si>
  <si>
    <t>Output Tokens</t>
  </si>
  <si>
    <t>Tool Rounds</t>
  </si>
  <si>
    <t>Premium Units</t>
  </si>
  <si>
    <t>Credits</t>
  </si>
  <si>
    <t>Workspaces</t>
  </si>
  <si>
    <t>Sessions</t>
  </si>
  <si>
    <t>Daily Token Usage</t>
  </si>
  <si>
    <t>Model Distribution</t>
  </si>
  <si>
    <t>Top Repositories</t>
  </si>
  <si>
    <t>Top Workspaces</t>
  </si>
  <si>
    <t>Wiring note: replace rows in ModelsTable, ReposTable, WorkspacesTable and DailyUsageTable. Keep table names and headers stable. Update the chart series end rows when exported row counts change.</t>
  </si>
  <si>
    <t>Models</t>
  </si>
  <si>
    <t>Model-level usage. The extension should replace rows in the Excel table named ModelsTable.</t>
  </si>
  <si>
    <t>Model</t>
  </si>
  <si>
    <t>Tokens</t>
  </si>
  <si>
    <t>Share</t>
  </si>
  <si>
    <t>claude-opus-4.6</t>
  </si>
  <si>
    <t>gpt-5.3-codex</t>
  </si>
  <si>
    <t>claude-opus-4.8</t>
  </si>
  <si>
    <t>unknown</t>
  </si>
  <si>
    <t>claude-sonnet-4.6</t>
  </si>
  <si>
    <t>auto</t>
  </si>
  <si>
    <t>gpt-5.4-2026.03</t>
  </si>
  <si>
    <t>claude-sonnet-4.7</t>
  </si>
  <si>
    <t>custom-endpoint/local</t>
  </si>
  <si>
    <t>claude-fable-5</t>
  </si>
  <si>
    <t>claude-opus-5</t>
  </si>
  <si>
    <t>gpt-5.4-mini</t>
  </si>
  <si>
    <t>claude-haiku-4.5</t>
  </si>
  <si>
    <t>custom-endpoint/remote</t>
  </si>
  <si>
    <t>other</t>
  </si>
  <si>
    <t>Total</t>
  </si>
  <si>
    <t>Repositories</t>
  </si>
  <si>
    <t>Attributed usage by repository. Fractional requests represent weighted attribution.</t>
  </si>
  <si>
    <t>Repository</t>
  </si>
  <si>
    <t>Attributed Requests</t>
  </si>
  <si>
    <t>Total Tokens</t>
  </si>
  <si>
    <t>Top Model</t>
  </si>
  <si>
    <t>Unattributed</t>
  </si>
  <si>
    <t>SachiHarshitha/copilot-usage</t>
  </si>
  <si>
    <t>llm-port/.github</t>
  </si>
  <si>
    <t>llm-port/llm-port-core</t>
  </si>
  <si>
    <t>SachiHarshitha/copilot-usage-tools</t>
  </si>
  <si>
    <t>llm-port/llm-port-dev</t>
  </si>
  <si>
    <t>llm-port/mcp-server-searxng</t>
  </si>
  <si>
    <t>llm-port/mcp-server-brave</t>
  </si>
  <si>
    <t>emagin8/career_skills_engine</t>
  </si>
  <si>
    <t>emagin8/career-path-frontend</t>
  </si>
  <si>
    <t>emagin8/career_backend</t>
  </si>
  <si>
    <t>SachiHarshitha/promptstreak</t>
  </si>
  <si>
    <t>llm-port/github.io</t>
  </si>
  <si>
    <t>Other repositories</t>
  </si>
  <si>
    <t>mixed</t>
  </si>
  <si>
    <t>Workspace-level usage. Sample paths are shortened to demonstrate the privacy-friendly export.</t>
  </si>
  <si>
    <t>Workspace</t>
  </si>
  <si>
    <t>Token Share</t>
  </si>
  <si>
    <t>…/llm-port/llm-port.code-workspace</t>
  </si>
  <si>
    <t>…/1766411014783/workspace.json</t>
  </si>
  <si>
    <t>…/10_Repo/Emagin8.e2ee</t>
  </si>
  <si>
    <t>…/101_CodeProjects/copilot-token-estimator</t>
  </si>
  <si>
    <t>…/1777616611188/workspace.json</t>
  </si>
  <si>
    <t>…/101_CodeProjects/expat-report-backend</t>
  </si>
  <si>
    <t>…/1769254251413/workspace.json</t>
  </si>
  <si>
    <t>…/101_CodeProjects/airgap-console</t>
  </si>
  <si>
    <t>…/101_CodeProjects/career-path</t>
  </si>
  <si>
    <t>…/10_Repo/09_Emagin8</t>
  </si>
  <si>
    <t>…/10_Repo/02_Nolimit</t>
  </si>
  <si>
    <t>…/80_Hostinger/vps1</t>
  </si>
  <si>
    <t>…/1785048235631/workspace.json</t>
  </si>
  <si>
    <t>…/10_Repo/88_KapNav</t>
  </si>
  <si>
    <t>…/101_CodeProjects/life-of-expat</t>
  </si>
  <si>
    <t>…/1779388861661/workspace.json</t>
  </si>
  <si>
    <t>…/101_CodeProjects/promptstreak-web</t>
  </si>
  <si>
    <t>…/101_CodeProjects/promptstreak-api</t>
  </si>
  <si>
    <t>…/llm-port/docs</t>
  </si>
  <si>
    <t>…/10_Repo/agent-vibe-map</t>
  </si>
  <si>
    <t>…/10_Repo/badge-lab</t>
  </si>
  <si>
    <t>…/10_Repo/profile-ui</t>
  </si>
  <si>
    <t>…/80_Hostinger/monitoring</t>
  </si>
  <si>
    <t>…/sandbox/copilot-tests</t>
  </si>
  <si>
    <t>…/sandbox/model-routing</t>
  </si>
  <si>
    <t>…/research/ai-regulations</t>
  </si>
  <si>
    <t>…/research/privacy-export</t>
  </si>
  <si>
    <t>…/experiments/excel-export</t>
  </si>
  <si>
    <t>…/misc/scratchpad</t>
  </si>
  <si>
    <t>…/misc/legacy-workspace</t>
  </si>
  <si>
    <t>Daily Data</t>
  </si>
  <si>
    <t>Dashboard chart source. Replace rows in DailyUsageTable when exporting.</t>
  </si>
  <si>
    <t>Date</t>
  </si>
  <si>
    <t>Metadata &amp; Export Contract</t>
  </si>
  <si>
    <t>Stable table names and schema notes for wiring this workbook into the VS Code extension.</t>
  </si>
  <si>
    <t>Key</t>
  </si>
  <si>
    <t>Value</t>
  </si>
  <si>
    <t>Description</t>
  </si>
  <si>
    <t>Schema Version</t>
  </si>
  <si>
    <t>1.0.0</t>
  </si>
  <si>
    <t>Increment when column names or meanings change.</t>
  </si>
  <si>
    <t>Template Version</t>
  </si>
  <si>
    <t>Workbook layout version.</t>
  </si>
  <si>
    <t>Extension Version</t>
  </si>
  <si>
    <t>sample</t>
  </si>
  <si>
    <t>Replace with the exporting extension version.</t>
  </si>
  <si>
    <t>Generated At</t>
  </si>
  <si>
    <t>Use local time and record the timezone.</t>
  </si>
  <si>
    <t>Timezone</t>
  </si>
  <si>
    <t>Europe/Berlin (+02:00)</t>
  </si>
  <si>
    <t>Timezone used for daily aggregation.</t>
  </si>
  <si>
    <t>Range Start</t>
  </si>
  <si>
    <t>Earliest included usage date.</t>
  </si>
  <si>
    <t>Range End</t>
  </si>
  <si>
    <t>Latest included usage date.</t>
  </si>
  <si>
    <t>Distinct sessions in the selected range.</t>
  </si>
  <si>
    <t>Workspace Paths</t>
  </si>
  <si>
    <t>Shortened</t>
  </si>
  <si>
    <t>Recommended privacy default.</t>
  </si>
  <si>
    <t>Prompt Content Included</t>
  </si>
  <si>
    <t>No</t>
  </si>
  <si>
    <t>Never include prompt text or source code in this aggregate export.</t>
  </si>
  <si>
    <t>Date Range</t>
  </si>
  <si>
    <t>all</t>
  </si>
  <si>
    <t>Date range filter applied when the report was exported.</t>
  </si>
  <si>
    <t>Table contract</t>
  </si>
  <si>
    <t>Table Name</t>
  </si>
  <si>
    <t>Sheet</t>
  </si>
  <si>
    <t>Purpose</t>
  </si>
  <si>
    <t>Extension action</t>
  </si>
  <si>
    <t>ModelsTable</t>
  </si>
  <si>
    <t>One row per model</t>
  </si>
  <si>
    <t>Clear data rows, append export rows, preserve headers.</t>
  </si>
  <si>
    <t>ReposTable</t>
  </si>
  <si>
    <t>Repos</t>
  </si>
  <si>
    <t>One row per repository attribution</t>
  </si>
  <si>
    <t>WorkspacesTable</t>
  </si>
  <si>
    <t>One row per workspace</t>
  </si>
  <si>
    <t>DailyUsageTable</t>
  </si>
  <si>
    <t>DailyData</t>
  </si>
  <si>
    <t>One row per date</t>
  </si>
  <si>
    <t>Clear data rows, append export rows and update dashboard chart ranges.</t>
  </si>
  <si>
    <t>ExportMetadataTable</t>
  </si>
  <si>
    <t>Metadata</t>
  </si>
  <si>
    <t>Export metadata</t>
  </si>
  <si>
    <t>Update values by matching the Key column.</t>
  </si>
  <si>
    <t>By Emagin8 UG</t>
    <phoneticPr fontId="14" type="noConversion"/>
  </si>
  <si>
    <t>Metered</t>
    <phoneticPr fontId="14" type="noConversion"/>
  </si>
  <si>
    <t>Rounds</t>
    <phoneticPr fontId="14" type="noConversion"/>
  </si>
  <si>
    <t>Input Tokens</t>
    <phoneticPr fontId="14" type="noConversion"/>
  </si>
  <si>
    <t>Output Tokens2</t>
    <phoneticPr fontId="14" type="noConversion"/>
  </si>
  <si>
    <t>Cached Tokens</t>
    <phoneticPr fontId="14" type="noConversion"/>
  </si>
  <si>
    <t>Credits2</t>
    <phoneticPr fontId="14" type="noConversion"/>
  </si>
  <si>
    <t>Coverage %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</si>
</sst>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&quot;x&quot;"/>
    <numFmt numFmtId="177" formatCode="0.0%"/>
    <numFmt numFmtId="178" formatCode="#,##0.0"/>
    <numFmt numFmtId="179" formatCode="yyyy\-mm\-dd"/>
  </numFmts>
  <fonts count="19" x14ac:knownFonts="1">
    <font>
      <sz val="11"/>
      <name val="Carlito"/>
    </font>
    <font>
      <sz val="10"/>
      <color rgb="FFD3D6D8"/>
      <name val="Aptos"/>
    </font>
    <font>
      <b/>
      <sz val="20"/>
      <color rgb="FF67A7D8"/>
      <name val="Aptos Display"/>
    </font>
    <font>
      <sz val="10"/>
      <color rgb="FF9CA3A8"/>
      <name val="Aptos"/>
    </font>
    <font>
      <b/>
      <sz val="10"/>
      <color rgb="FF9CA3A8"/>
      <name val="Aptos"/>
    </font>
    <font>
      <b/>
      <sz val="10"/>
      <color rgb="FFD3D6D8"/>
      <name val="Aptos"/>
    </font>
    <font>
      <b/>
      <sz val="10"/>
      <color rgb="FF67A7D8"/>
      <name val="Aptos"/>
    </font>
    <font>
      <b/>
      <sz val="13"/>
      <color rgb="FF67A7D8"/>
      <name val="Aptos"/>
    </font>
    <font>
      <b/>
      <sz val="22"/>
      <color rgb="FFD3D6D8"/>
      <name val="Aptos Display"/>
    </font>
    <font>
      <b/>
      <sz val="11"/>
      <color rgb="FF67A7D8"/>
      <name val="Aptos"/>
    </font>
    <font>
      <sz val="9"/>
      <color rgb="FF9CA3A8"/>
      <name val="Aptos"/>
    </font>
    <font>
      <b/>
      <sz val="22"/>
      <color rgb="FF67A7D8"/>
      <name val="Aptos Display"/>
    </font>
    <font>
      <sz val="11"/>
      <color rgb="FF9CA3A8"/>
      <name val="Aptos"/>
    </font>
    <font>
      <b/>
      <sz val="13"/>
      <color rgb="FFD3D6D8"/>
      <name val="Aptos"/>
    </font>
    <font>
      <sz val="9"/>
      <name val="DengXian"/>
      <family val="3"/>
      <charset val="134"/>
    </font>
    <font>
      <b/>
      <sz val="10"/>
      <color rgb="FF9CA3A8"/>
      <name val="Aptos"/>
      <family val="2"/>
    </font>
    <font>
      <sz val="10"/>
      <color rgb="FFD3D6D8"/>
      <name val="Aptos"/>
      <family val="2"/>
    </font>
    <font>
      <b/>
      <sz val="10"/>
      <color rgb="FFD3D6D8"/>
      <name val="Aptos"/>
      <family val="2"/>
    </font>
    <font>
      <u/>
      <sz val="11"/>
      <color theme="10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11315"/>
      </patternFill>
    </fill>
    <fill>
      <patternFill patternType="solid">
        <fgColor rgb="FF202326"/>
      </patternFill>
    </fill>
    <fill>
      <patternFill patternType="solid">
        <fgColor rgb="FF1E202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3" fontId="1" fillId="4" borderId="0" xfId="0" applyNumberFormat="1" applyFont="1" applyFill="1" applyAlignment="1">
      <alignment vertical="center"/>
    </xf>
    <xf numFmtId="176" fontId="1" fillId="4" borderId="0" xfId="0" applyNumberFormat="1" applyFont="1" applyFill="1" applyAlignment="1">
      <alignment vertical="center"/>
    </xf>
    <xf numFmtId="177" fontId="1" fillId="4" borderId="0" xfId="0" applyNumberFormat="1" applyFont="1" applyFill="1" applyAlignment="1">
      <alignment vertical="center"/>
    </xf>
    <xf numFmtId="0" fontId="5" fillId="3" borderId="0" xfId="0" applyFont="1" applyFill="1" applyAlignment="1">
      <alignment vertical="center"/>
    </xf>
    <xf numFmtId="3" fontId="5" fillId="3" borderId="0" xfId="0" applyNumberFormat="1" applyFont="1" applyFill="1" applyAlignment="1">
      <alignment vertical="center"/>
    </xf>
    <xf numFmtId="176" fontId="5" fillId="3" borderId="0" xfId="0" applyNumberFormat="1" applyFont="1" applyFill="1" applyAlignment="1">
      <alignment vertical="center"/>
    </xf>
    <xf numFmtId="177" fontId="5" fillId="3" borderId="0" xfId="0" applyNumberFormat="1" applyFont="1" applyFill="1" applyAlignment="1">
      <alignment vertical="center"/>
    </xf>
    <xf numFmtId="178" fontId="1" fillId="4" borderId="0" xfId="0" applyNumberFormat="1" applyFont="1" applyFill="1" applyAlignment="1">
      <alignment vertical="center"/>
    </xf>
    <xf numFmtId="178" fontId="5" fillId="3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179" fontId="1" fillId="4" borderId="0" xfId="0" applyNumberFormat="1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3" fontId="1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2" fillId="4" borderId="0" xfId="0" applyFont="1" applyFill="1" applyAlignment="1">
      <alignment horizontal="center" vertical="center"/>
    </xf>
    <xf numFmtId="3" fontId="10" fillId="4" borderId="0" xfId="0" applyNumberFormat="1" applyFont="1" applyFill="1" applyAlignment="1">
      <alignment horizontal="center" vertical="center"/>
    </xf>
    <xf numFmtId="176" fontId="11" fillId="4" borderId="0" xfId="0" applyNumberFormat="1" applyFont="1" applyFill="1" applyAlignment="1">
      <alignment horizontal="center" vertical="center"/>
    </xf>
    <xf numFmtId="176" fontId="10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3" fontId="17" fillId="3" borderId="0" xfId="0" applyNumberFormat="1" applyFont="1" applyFill="1" applyAlignment="1">
      <alignment vertical="center"/>
    </xf>
    <xf numFmtId="3" fontId="16" fillId="4" borderId="1" xfId="0" applyNumberFormat="1" applyFont="1" applyFill="1" applyBorder="1" applyAlignment="1">
      <alignment vertical="center"/>
    </xf>
    <xf numFmtId="3" fontId="16" fillId="4" borderId="2" xfId="0" applyNumberFormat="1" applyFont="1" applyFill="1" applyBorder="1" applyAlignment="1">
      <alignment vertical="center"/>
    </xf>
    <xf numFmtId="0" fontId="18" fillId="2" borderId="0" xfId="1" applyFill="1" applyAlignment="1">
      <alignment horizontal="righ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view3D>
      <c:rotX val="15"/>
      <c:rotY val="20"/>
      <c:rAngAx val="0"/>
    </c:view3D>
    <c:floor>
      <c:thickness val="0"/>
    </c:floor>
    <c:sideWall>
      <c:thickness val="0"/>
      <c:spPr>
        <a:solidFill>
          <a:srgbClr val="1E2022"/>
        </a:solidFill>
      </c:spPr>
    </c:sideWall>
    <c:backWall>
      <c:thickness val="0"/>
      <c:spPr>
        <a:solidFill>
          <a:srgbClr val="1E2022"/>
        </a:solidFill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Prompt Tokens</c:v>
          </c:tx>
          <c:spPr>
            <a:solidFill>
              <a:srgbClr val="5B96BF"/>
            </a:solidFill>
          </c:spPr>
          <c:invertIfNegative val="1"/>
          <c:cat>
            <c:numRef>
              <c:f>DailyData!$A$5:$A$44</c:f>
              <c:numCache>
                <c:formatCode>yyyy\-mm\-dd</c:formatCode>
                <c:ptCount val="40"/>
                <c:pt idx="0">
                  <c:v>45774</c:v>
                </c:pt>
                <c:pt idx="1">
                  <c:v>45786</c:v>
                </c:pt>
                <c:pt idx="2">
                  <c:v>45797</c:v>
                </c:pt>
                <c:pt idx="3">
                  <c:v>45809</c:v>
                </c:pt>
                <c:pt idx="4">
                  <c:v>45821</c:v>
                </c:pt>
                <c:pt idx="5">
                  <c:v>45832</c:v>
                </c:pt>
                <c:pt idx="6">
                  <c:v>45844</c:v>
                </c:pt>
                <c:pt idx="7">
                  <c:v>45856</c:v>
                </c:pt>
                <c:pt idx="8">
                  <c:v>45867</c:v>
                </c:pt>
                <c:pt idx="9">
                  <c:v>45879</c:v>
                </c:pt>
                <c:pt idx="10">
                  <c:v>45891</c:v>
                </c:pt>
                <c:pt idx="11">
                  <c:v>45902</c:v>
                </c:pt>
                <c:pt idx="12">
                  <c:v>45914</c:v>
                </c:pt>
                <c:pt idx="13">
                  <c:v>45926</c:v>
                </c:pt>
                <c:pt idx="14">
                  <c:v>45937</c:v>
                </c:pt>
                <c:pt idx="15">
                  <c:v>45949</c:v>
                </c:pt>
                <c:pt idx="16">
                  <c:v>45961</c:v>
                </c:pt>
                <c:pt idx="17">
                  <c:v>45972</c:v>
                </c:pt>
                <c:pt idx="18">
                  <c:v>45984</c:v>
                </c:pt>
                <c:pt idx="19">
                  <c:v>45996</c:v>
                </c:pt>
                <c:pt idx="20">
                  <c:v>46007</c:v>
                </c:pt>
                <c:pt idx="21">
                  <c:v>46019</c:v>
                </c:pt>
                <c:pt idx="22">
                  <c:v>46031</c:v>
                </c:pt>
                <c:pt idx="23">
                  <c:v>46042</c:v>
                </c:pt>
                <c:pt idx="24">
                  <c:v>46054</c:v>
                </c:pt>
                <c:pt idx="25">
                  <c:v>46066</c:v>
                </c:pt>
                <c:pt idx="26">
                  <c:v>46077</c:v>
                </c:pt>
                <c:pt idx="27">
                  <c:v>46089</c:v>
                </c:pt>
                <c:pt idx="28">
                  <c:v>46101</c:v>
                </c:pt>
                <c:pt idx="29">
                  <c:v>46112</c:v>
                </c:pt>
                <c:pt idx="30">
                  <c:v>46124</c:v>
                </c:pt>
                <c:pt idx="31">
                  <c:v>46136</c:v>
                </c:pt>
                <c:pt idx="32">
                  <c:v>46147</c:v>
                </c:pt>
                <c:pt idx="33">
                  <c:v>46159</c:v>
                </c:pt>
                <c:pt idx="34">
                  <c:v>46171</c:v>
                </c:pt>
                <c:pt idx="35">
                  <c:v>46182</c:v>
                </c:pt>
                <c:pt idx="36">
                  <c:v>46194</c:v>
                </c:pt>
                <c:pt idx="37">
                  <c:v>46206</c:v>
                </c:pt>
                <c:pt idx="38">
                  <c:v>46217</c:v>
                </c:pt>
                <c:pt idx="39">
                  <c:v>46229</c:v>
                </c:pt>
              </c:numCache>
            </c:numRef>
          </c:cat>
          <c:val>
            <c:numRef>
              <c:f>DailyData!$C$5:$C$44</c:f>
              <c:numCache>
                <c:formatCode>#,##0</c:formatCode>
                <c:ptCount val="40"/>
                <c:pt idx="0">
                  <c:v>601942</c:v>
                </c:pt>
                <c:pt idx="1">
                  <c:v>2470622</c:v>
                </c:pt>
                <c:pt idx="2">
                  <c:v>956103</c:v>
                </c:pt>
                <c:pt idx="3">
                  <c:v>485384</c:v>
                </c:pt>
                <c:pt idx="4">
                  <c:v>93529</c:v>
                </c:pt>
                <c:pt idx="5">
                  <c:v>1849913</c:v>
                </c:pt>
                <c:pt idx="6">
                  <c:v>489008</c:v>
                </c:pt>
                <c:pt idx="7">
                  <c:v>3267527</c:v>
                </c:pt>
                <c:pt idx="8">
                  <c:v>747920</c:v>
                </c:pt>
                <c:pt idx="9">
                  <c:v>3286963</c:v>
                </c:pt>
                <c:pt idx="10">
                  <c:v>1323685</c:v>
                </c:pt>
                <c:pt idx="11">
                  <c:v>841311</c:v>
                </c:pt>
                <c:pt idx="12">
                  <c:v>3654646</c:v>
                </c:pt>
                <c:pt idx="13">
                  <c:v>504064</c:v>
                </c:pt>
                <c:pt idx="14">
                  <c:v>211987</c:v>
                </c:pt>
                <c:pt idx="15">
                  <c:v>1400291</c:v>
                </c:pt>
                <c:pt idx="16">
                  <c:v>1770752</c:v>
                </c:pt>
                <c:pt idx="17">
                  <c:v>2214967</c:v>
                </c:pt>
                <c:pt idx="18">
                  <c:v>584842</c:v>
                </c:pt>
                <c:pt idx="19">
                  <c:v>1839326</c:v>
                </c:pt>
                <c:pt idx="20">
                  <c:v>391509</c:v>
                </c:pt>
                <c:pt idx="21">
                  <c:v>2070363</c:v>
                </c:pt>
                <c:pt idx="22">
                  <c:v>1404317</c:v>
                </c:pt>
                <c:pt idx="23">
                  <c:v>10576993</c:v>
                </c:pt>
                <c:pt idx="24">
                  <c:v>690694</c:v>
                </c:pt>
                <c:pt idx="25">
                  <c:v>470052</c:v>
                </c:pt>
                <c:pt idx="26">
                  <c:v>10352331</c:v>
                </c:pt>
                <c:pt idx="27">
                  <c:v>580415</c:v>
                </c:pt>
                <c:pt idx="28">
                  <c:v>1422230</c:v>
                </c:pt>
                <c:pt idx="29">
                  <c:v>4106579</c:v>
                </c:pt>
                <c:pt idx="30">
                  <c:v>895205</c:v>
                </c:pt>
                <c:pt idx="31">
                  <c:v>271676</c:v>
                </c:pt>
                <c:pt idx="32">
                  <c:v>16916305</c:v>
                </c:pt>
                <c:pt idx="33">
                  <c:v>178208</c:v>
                </c:pt>
                <c:pt idx="34">
                  <c:v>63709</c:v>
                </c:pt>
                <c:pt idx="35">
                  <c:v>2046915</c:v>
                </c:pt>
                <c:pt idx="36">
                  <c:v>1578201</c:v>
                </c:pt>
                <c:pt idx="37">
                  <c:v>275418</c:v>
                </c:pt>
                <c:pt idx="38">
                  <c:v>1047604</c:v>
                </c:pt>
                <c:pt idx="39">
                  <c:v>6580935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5D75-4205-AE75-C087A68624AC}"/>
            </c:ext>
          </c:extLst>
        </c:ser>
        <c:ser>
          <c:idx val="1"/>
          <c:order val="1"/>
          <c:tx>
            <c:v>Output Tokens</c:v>
          </c:tx>
          <c:spPr>
            <a:solidFill>
              <a:srgbClr val="8558C9"/>
            </a:solidFill>
          </c:spPr>
          <c:invertIfNegative val="1"/>
          <c:cat>
            <c:numRef>
              <c:f>DailyData!$A$5:$A$44</c:f>
              <c:numCache>
                <c:formatCode>yyyy\-mm\-dd</c:formatCode>
                <c:ptCount val="40"/>
                <c:pt idx="0">
                  <c:v>45774</c:v>
                </c:pt>
                <c:pt idx="1">
                  <c:v>45786</c:v>
                </c:pt>
                <c:pt idx="2">
                  <c:v>45797</c:v>
                </c:pt>
                <c:pt idx="3">
                  <c:v>45809</c:v>
                </c:pt>
                <c:pt idx="4">
                  <c:v>45821</c:v>
                </c:pt>
                <c:pt idx="5">
                  <c:v>45832</c:v>
                </c:pt>
                <c:pt idx="6">
                  <c:v>45844</c:v>
                </c:pt>
                <c:pt idx="7">
                  <c:v>45856</c:v>
                </c:pt>
                <c:pt idx="8">
                  <c:v>45867</c:v>
                </c:pt>
                <c:pt idx="9">
                  <c:v>45879</c:v>
                </c:pt>
                <c:pt idx="10">
                  <c:v>45891</c:v>
                </c:pt>
                <c:pt idx="11">
                  <c:v>45902</c:v>
                </c:pt>
                <c:pt idx="12">
                  <c:v>45914</c:v>
                </c:pt>
                <c:pt idx="13">
                  <c:v>45926</c:v>
                </c:pt>
                <c:pt idx="14">
                  <c:v>45937</c:v>
                </c:pt>
                <c:pt idx="15">
                  <c:v>45949</c:v>
                </c:pt>
                <c:pt idx="16">
                  <c:v>45961</c:v>
                </c:pt>
                <c:pt idx="17">
                  <c:v>45972</c:v>
                </c:pt>
                <c:pt idx="18">
                  <c:v>45984</c:v>
                </c:pt>
                <c:pt idx="19">
                  <c:v>45996</c:v>
                </c:pt>
                <c:pt idx="20">
                  <c:v>46007</c:v>
                </c:pt>
                <c:pt idx="21">
                  <c:v>46019</c:v>
                </c:pt>
                <c:pt idx="22">
                  <c:v>46031</c:v>
                </c:pt>
                <c:pt idx="23">
                  <c:v>46042</c:v>
                </c:pt>
                <c:pt idx="24">
                  <c:v>46054</c:v>
                </c:pt>
                <c:pt idx="25">
                  <c:v>46066</c:v>
                </c:pt>
                <c:pt idx="26">
                  <c:v>46077</c:v>
                </c:pt>
                <c:pt idx="27">
                  <c:v>46089</c:v>
                </c:pt>
                <c:pt idx="28">
                  <c:v>46101</c:v>
                </c:pt>
                <c:pt idx="29">
                  <c:v>46112</c:v>
                </c:pt>
                <c:pt idx="30">
                  <c:v>46124</c:v>
                </c:pt>
                <c:pt idx="31">
                  <c:v>46136</c:v>
                </c:pt>
                <c:pt idx="32">
                  <c:v>46147</c:v>
                </c:pt>
                <c:pt idx="33">
                  <c:v>46159</c:v>
                </c:pt>
                <c:pt idx="34">
                  <c:v>46171</c:v>
                </c:pt>
                <c:pt idx="35">
                  <c:v>46182</c:v>
                </c:pt>
                <c:pt idx="36">
                  <c:v>46194</c:v>
                </c:pt>
                <c:pt idx="37">
                  <c:v>46206</c:v>
                </c:pt>
                <c:pt idx="38">
                  <c:v>46217</c:v>
                </c:pt>
                <c:pt idx="39">
                  <c:v>46229</c:v>
                </c:pt>
              </c:numCache>
            </c:numRef>
          </c:cat>
          <c:val>
            <c:numRef>
              <c:f>DailyData!$D$5:$D$44</c:f>
              <c:numCache>
                <c:formatCode>#,##0</c:formatCode>
                <c:ptCount val="40"/>
                <c:pt idx="0">
                  <c:v>16392</c:v>
                </c:pt>
                <c:pt idx="1">
                  <c:v>66227</c:v>
                </c:pt>
                <c:pt idx="2">
                  <c:v>20093</c:v>
                </c:pt>
                <c:pt idx="3">
                  <c:v>11873</c:v>
                </c:pt>
                <c:pt idx="4">
                  <c:v>2260</c:v>
                </c:pt>
                <c:pt idx="5">
                  <c:v>36150</c:v>
                </c:pt>
                <c:pt idx="6">
                  <c:v>12574</c:v>
                </c:pt>
                <c:pt idx="7">
                  <c:v>76637</c:v>
                </c:pt>
                <c:pt idx="8">
                  <c:v>19353</c:v>
                </c:pt>
                <c:pt idx="9">
                  <c:v>76793</c:v>
                </c:pt>
                <c:pt idx="10">
                  <c:v>23827</c:v>
                </c:pt>
                <c:pt idx="11">
                  <c:v>17900</c:v>
                </c:pt>
                <c:pt idx="12">
                  <c:v>66485</c:v>
                </c:pt>
                <c:pt idx="13">
                  <c:v>13811</c:v>
                </c:pt>
                <c:pt idx="14">
                  <c:v>5700</c:v>
                </c:pt>
                <c:pt idx="15">
                  <c:v>36986</c:v>
                </c:pt>
                <c:pt idx="16">
                  <c:v>37376</c:v>
                </c:pt>
                <c:pt idx="17">
                  <c:v>41156</c:v>
                </c:pt>
                <c:pt idx="18">
                  <c:v>15722</c:v>
                </c:pt>
                <c:pt idx="19">
                  <c:v>50728</c:v>
                </c:pt>
                <c:pt idx="20">
                  <c:v>7385</c:v>
                </c:pt>
                <c:pt idx="21">
                  <c:v>47440</c:v>
                </c:pt>
                <c:pt idx="22">
                  <c:v>26254</c:v>
                </c:pt>
                <c:pt idx="23">
                  <c:v>271759</c:v>
                </c:pt>
                <c:pt idx="24">
                  <c:v>17783</c:v>
                </c:pt>
                <c:pt idx="25">
                  <c:v>9069</c:v>
                </c:pt>
                <c:pt idx="26">
                  <c:v>236089</c:v>
                </c:pt>
                <c:pt idx="27">
                  <c:v>13674</c:v>
                </c:pt>
                <c:pt idx="28">
                  <c:v>29408</c:v>
                </c:pt>
                <c:pt idx="29">
                  <c:v>110161</c:v>
                </c:pt>
                <c:pt idx="30">
                  <c:v>19943</c:v>
                </c:pt>
                <c:pt idx="31">
                  <c:v>5471</c:v>
                </c:pt>
                <c:pt idx="32">
                  <c:v>396744</c:v>
                </c:pt>
                <c:pt idx="33">
                  <c:v>4523</c:v>
                </c:pt>
                <c:pt idx="34">
                  <c:v>1276</c:v>
                </c:pt>
                <c:pt idx="35">
                  <c:v>43292</c:v>
                </c:pt>
                <c:pt idx="36">
                  <c:v>44296</c:v>
                </c:pt>
                <c:pt idx="37">
                  <c:v>6768</c:v>
                </c:pt>
                <c:pt idx="38">
                  <c:v>23497</c:v>
                </c:pt>
                <c:pt idx="39">
                  <c:v>152898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5D75-4205-AE75-C087A6862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shape val="box"/>
        <c:axId val="48650112"/>
        <c:axId val="48672768"/>
        <c:axId val="0"/>
      </c:bar3D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solidFill>
      <a:srgbClr val="1E2022"/>
    </a:solidFill>
    <a:ln w="9525">
      <a:solidFill>
        <a:srgbClr val="D9D9D9"/>
      </a:solidFill>
      <a:prstDash val="solid"/>
    </a:ln>
  </c:spPr>
  <c:txPr>
    <a:bodyPr/>
    <a:lstStyle/>
    <a:p>
      <a:pPr>
        <a:defRPr>
          <a:solidFill>
            <a:schemeClr val="bg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view3D>
      <c:rotX val="15"/>
      <c:rotY val="20"/>
      <c:rAngAx val="0"/>
    </c:view3D>
    <c:floor>
      <c:thickness val="0"/>
    </c:floor>
    <c:sideWall>
      <c:thickness val="0"/>
      <c:spPr>
        <a:solidFill>
          <a:srgbClr val="1E2022"/>
        </a:solidFill>
      </c:spPr>
    </c:sideWall>
    <c:backWall>
      <c:thickness val="0"/>
      <c:spPr>
        <a:solidFill>
          <a:srgbClr val="1E2022"/>
        </a:solidFill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Token Share</c:v>
          </c:tx>
          <c:spPr>
            <a:solidFill>
              <a:srgbClr val="8558C9"/>
            </a:solidFill>
          </c:spPr>
          <c:invertIfNegative val="1"/>
          <c:cat>
            <c:strRef>
              <c:f>Models!$A$5:$A$12</c:f>
              <c:strCache>
                <c:ptCount val="8"/>
                <c:pt idx="0">
                  <c:v>claude-opus-4.6</c:v>
                </c:pt>
                <c:pt idx="1">
                  <c:v>gpt-5.3-codex</c:v>
                </c:pt>
                <c:pt idx="2">
                  <c:v>claude-opus-4.8</c:v>
                </c:pt>
                <c:pt idx="3">
                  <c:v>unknown</c:v>
                </c:pt>
                <c:pt idx="4">
                  <c:v>claude-sonnet-4.6</c:v>
                </c:pt>
                <c:pt idx="5">
                  <c:v>auto</c:v>
                </c:pt>
                <c:pt idx="6">
                  <c:v>gpt-5.4-2026.03</c:v>
                </c:pt>
                <c:pt idx="7">
                  <c:v>claude-sonnet-4.7</c:v>
                </c:pt>
              </c:strCache>
            </c:strRef>
          </c:cat>
          <c:val>
            <c:numRef>
              <c:f>Models!$H$5:$H$12</c:f>
              <c:numCache>
                <c:formatCode>0.0%</c:formatCode>
                <c:ptCount val="8"/>
                <c:pt idx="0">
                  <c:v>1.20921128391218E-2</c:v>
                </c:pt>
                <c:pt idx="1">
                  <c:v>0.56865121784129746</c:v>
                </c:pt>
                <c:pt idx="2">
                  <c:v>0.20250108674044517</c:v>
                </c:pt>
                <c:pt idx="3">
                  <c:v>2.2955576892006316E-3</c:v>
                </c:pt>
                <c:pt idx="4">
                  <c:v>7.4727453398736612E-2</c:v>
                </c:pt>
                <c:pt idx="5">
                  <c:v>4.2099686825726214E-2</c:v>
                </c:pt>
                <c:pt idx="6">
                  <c:v>7.7246059260966407E-2</c:v>
                </c:pt>
                <c:pt idx="7">
                  <c:v>8.015311289251691E-3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849-4BB4-BE37-0A89965D4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shape val="box"/>
        <c:axId val="48650112"/>
        <c:axId val="48672768"/>
        <c:axId val="0"/>
      </c:bar3D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1E2022"/>
    </a:solidFill>
    <a:ln w="9525">
      <a:solidFill>
        <a:srgbClr val="D9D9D9"/>
      </a:solidFill>
      <a:prstDash val="solid"/>
    </a:ln>
  </c:spPr>
  <c:txPr>
    <a:bodyPr/>
    <a:lstStyle/>
    <a:p>
      <a:pPr>
        <a:defRPr>
          <a:solidFill>
            <a:schemeClr val="bg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view3D>
      <c:rotX val="15"/>
      <c:rotY val="20"/>
      <c:rAngAx val="0"/>
    </c:view3D>
    <c:floor>
      <c:thickness val="0"/>
    </c:floor>
    <c:sideWall>
      <c:thickness val="0"/>
      <c:spPr>
        <a:solidFill>
          <a:srgbClr val="1E2022"/>
        </a:solidFill>
      </c:spPr>
    </c:sideWall>
    <c:backWall>
      <c:thickness val="0"/>
      <c:spPr>
        <a:solidFill>
          <a:srgbClr val="1E2022"/>
        </a:solidFill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 Tokens</c:v>
          </c:tx>
          <c:spPr>
            <a:solidFill>
              <a:srgbClr val="E7A13A"/>
            </a:solidFill>
          </c:spPr>
          <c:invertIfNegative val="1"/>
          <c:cat>
            <c:strRef>
              <c:f>Repos!$A$5:$A$12</c:f>
              <c:strCache>
                <c:ptCount val="8"/>
                <c:pt idx="0">
                  <c:v>Unattributed</c:v>
                </c:pt>
                <c:pt idx="1">
                  <c:v>SachiHarshitha/copilot-usage</c:v>
                </c:pt>
                <c:pt idx="2">
                  <c:v>llm-port/.github</c:v>
                </c:pt>
                <c:pt idx="3">
                  <c:v>llm-port/llm-port-core</c:v>
                </c:pt>
                <c:pt idx="4">
                  <c:v>SachiHarshitha/copilot-usage-tools</c:v>
                </c:pt>
                <c:pt idx="5">
                  <c:v>llm-port/llm-port-dev</c:v>
                </c:pt>
                <c:pt idx="6">
                  <c:v>llm-port/mcp-server-searxng</c:v>
                </c:pt>
                <c:pt idx="7">
                  <c:v>llm-port/mcp-server-brave</c:v>
                </c:pt>
              </c:strCache>
            </c:strRef>
          </c:cat>
          <c:val>
            <c:numRef>
              <c:f>Repos!$E$5:$E$12</c:f>
              <c:numCache>
                <c:formatCode>#,##0.0</c:formatCode>
                <c:ptCount val="8"/>
                <c:pt idx="0">
                  <c:v>37085888</c:v>
                </c:pt>
                <c:pt idx="1">
                  <c:v>12456065</c:v>
                </c:pt>
                <c:pt idx="2">
                  <c:v>9702867.5</c:v>
                </c:pt>
                <c:pt idx="3">
                  <c:v>5946569.8000000007</c:v>
                </c:pt>
                <c:pt idx="4">
                  <c:v>4476242.6999999993</c:v>
                </c:pt>
                <c:pt idx="5">
                  <c:v>3207316.6999999997</c:v>
                </c:pt>
                <c:pt idx="6">
                  <c:v>2458051.7000000002</c:v>
                </c:pt>
                <c:pt idx="7">
                  <c:v>2457109.6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677-4BA0-8D62-D011EBD00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shape val="box"/>
        <c:axId val="48650112"/>
        <c:axId val="48672768"/>
        <c:axId val="0"/>
      </c:bar3D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1E2022"/>
    </a:solidFill>
    <a:ln w="9525">
      <a:solidFill>
        <a:srgbClr val="D9D9D9"/>
      </a:solidFill>
      <a:prstDash val="solid"/>
    </a:ln>
  </c:spPr>
  <c:txPr>
    <a:bodyPr/>
    <a:lstStyle/>
    <a:p>
      <a:pPr>
        <a:defRPr>
          <a:solidFill>
            <a:schemeClr val="bg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view3D>
      <c:rotX val="15"/>
      <c:rotY val="20"/>
      <c:rAngAx val="0"/>
    </c:view3D>
    <c:floor>
      <c:thickness val="0"/>
    </c:floor>
    <c:sideWall>
      <c:thickness val="0"/>
      <c:spPr>
        <a:solidFill>
          <a:srgbClr val="1E2022"/>
        </a:solidFill>
      </c:spPr>
    </c:sideWall>
    <c:backWall>
      <c:thickness val="0"/>
      <c:spPr>
        <a:solidFill>
          <a:srgbClr val="1E2022"/>
        </a:solidFill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 Tokens</c:v>
          </c:tx>
          <c:spPr>
            <a:solidFill>
              <a:srgbClr val="69B96E"/>
            </a:solidFill>
          </c:spPr>
          <c:invertIfNegative val="1"/>
          <c:cat>
            <c:strRef>
              <c:f>Workspaces!$A$5:$A$12</c:f>
              <c:strCache>
                <c:ptCount val="8"/>
                <c:pt idx="0">
                  <c:v>…/llm-port/llm-port.code-workspace</c:v>
                </c:pt>
                <c:pt idx="1">
                  <c:v>…/1766411014783/workspace.json</c:v>
                </c:pt>
                <c:pt idx="2">
                  <c:v>…/10_Repo/Emagin8.e2ee</c:v>
                </c:pt>
                <c:pt idx="3">
                  <c:v>…/101_CodeProjects/copilot-token-estimator</c:v>
                </c:pt>
                <c:pt idx="4">
                  <c:v>…/1777616611188/workspace.json</c:v>
                </c:pt>
                <c:pt idx="5">
                  <c:v>…/101_CodeProjects/expat-report-backend</c:v>
                </c:pt>
                <c:pt idx="6">
                  <c:v>…/1769254251413/workspace.json</c:v>
                </c:pt>
                <c:pt idx="7">
                  <c:v>…/101_CodeProjects/airgap-console</c:v>
                </c:pt>
              </c:strCache>
            </c:strRef>
          </c:cat>
          <c:val>
            <c:numRef>
              <c:f>Workspaces!$E$5:$E$12</c:f>
              <c:numCache>
                <c:formatCode>#,##0</c:formatCode>
                <c:ptCount val="8"/>
                <c:pt idx="0">
                  <c:v>42524485</c:v>
                </c:pt>
                <c:pt idx="1">
                  <c:v>399083</c:v>
                </c:pt>
                <c:pt idx="2">
                  <c:v>367325</c:v>
                </c:pt>
                <c:pt idx="3">
                  <c:v>16417101</c:v>
                </c:pt>
                <c:pt idx="4">
                  <c:v>11781088</c:v>
                </c:pt>
                <c:pt idx="5">
                  <c:v>231765</c:v>
                </c:pt>
                <c:pt idx="6">
                  <c:v>153464</c:v>
                </c:pt>
                <c:pt idx="7">
                  <c:v>8456322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7C9-4462-9CAC-28EE40E60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shape val="box"/>
        <c:axId val="48650112"/>
        <c:axId val="48672768"/>
        <c:axId val="0"/>
      </c:bar3D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1E2022"/>
    </a:solidFill>
    <a:ln w="9525">
      <a:solidFill>
        <a:srgbClr val="D9D9D9"/>
      </a:solidFill>
      <a:prstDash val="solid"/>
    </a:ln>
  </c:spPr>
  <c:txPr>
    <a:bodyPr/>
    <a:lstStyle/>
    <a:p>
      <a:pPr>
        <a:defRPr>
          <a:solidFill>
            <a:schemeClr val="bg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7443788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452437</xdr:colOff>
      <xdr:row>16</xdr:row>
      <xdr:rowOff>0</xdr:rowOff>
    </xdr:from>
    <xdr:ext cx="5795963" cy="2857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35</xdr:row>
      <xdr:rowOff>0</xdr:rowOff>
    </xdr:from>
    <xdr:ext cx="6843712" cy="28575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666751</xdr:colOff>
      <xdr:row>35</xdr:row>
      <xdr:rowOff>19050</xdr:rowOff>
    </xdr:from>
    <xdr:ext cx="6324600" cy="28575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elsTable" displayName="ModelsTable" ref="A4:H19">
  <tableColumns count="8">
    <tableColumn id="1" xr3:uid="{00000000-0010-0000-0000-000001000000}" name="Model"/>
    <tableColumn id="2" xr3:uid="{00000000-0010-0000-0000-000002000000}" name="Requests"/>
    <tableColumn id="3" xr3:uid="{00000000-0010-0000-0000-000003000000}" name="Prompt Tokens"/>
    <tableColumn id="4" xr3:uid="{00000000-0010-0000-0000-000004000000}" name="Output Tokens"/>
    <tableColumn id="5" xr3:uid="{00000000-0010-0000-0000-000005000000}" name="Tokens"/>
    <tableColumn id="6" xr3:uid="{00000000-0010-0000-0000-000006000000}" name="Premium Units"/>
    <tableColumn id="7" xr3:uid="{00000000-0010-0000-0000-000007000000}" name="Credits"/>
    <tableColumn id="8" xr3:uid="{00000000-0010-0000-0000-000008000000}" name="Sh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osTable" displayName="ReposTable" ref="A4:I18">
  <tableColumns count="9">
    <tableColumn id="1" xr3:uid="{00000000-0010-0000-0100-000001000000}" name="Repository"/>
    <tableColumn id="2" xr3:uid="{00000000-0010-0000-0100-000002000000}" name="Attributed Requests"/>
    <tableColumn id="3" xr3:uid="{00000000-0010-0000-0100-000003000000}" name="Prompt Tokens"/>
    <tableColumn id="4" xr3:uid="{00000000-0010-0000-0100-000004000000}" name="Output Tokens"/>
    <tableColumn id="5" xr3:uid="{00000000-0010-0000-0100-000005000000}" name="Total Tokens"/>
    <tableColumn id="6" xr3:uid="{00000000-0010-0000-0100-000006000000}" name="Share"/>
    <tableColumn id="7" xr3:uid="{00000000-0010-0000-0100-000007000000}" name="Premium Units"/>
    <tableColumn id="8" xr3:uid="{00000000-0010-0000-0100-000008000000}" name="Credits"/>
    <tableColumn id="9" xr3:uid="{00000000-0010-0000-0100-000009000000}" name="Top Mod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kspacesTable" displayName="WorkspacesTable" ref="A4:I34">
  <tableColumns count="9">
    <tableColumn id="1" xr3:uid="{00000000-0010-0000-0200-000001000000}" name="Workspace"/>
    <tableColumn id="2" xr3:uid="{00000000-0010-0000-0200-000002000000}" name="Requests"/>
    <tableColumn id="3" xr3:uid="{00000000-0010-0000-0200-000003000000}" name="Prompt Tokens"/>
    <tableColumn id="4" xr3:uid="{00000000-0010-0000-0200-000004000000}" name="Output Tokens"/>
    <tableColumn id="5" xr3:uid="{00000000-0010-0000-0200-000005000000}" name="Total Tokens"/>
    <tableColumn id="6" xr3:uid="{00000000-0010-0000-0200-000006000000}" name="Premium Units"/>
    <tableColumn id="7" xr3:uid="{00000000-0010-0000-0200-000007000000}" name="Credits"/>
    <tableColumn id="8" xr3:uid="{00000000-0010-0000-0200-000008000000}" name="Top Model"/>
    <tableColumn id="9" xr3:uid="{00000000-0010-0000-0200-000009000000}" name="Token Sh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ilyUsageTable" displayName="DailyUsageTable" ref="A4:H44">
  <tableColumns count="8">
    <tableColumn id="1" xr3:uid="{00000000-0010-0000-0300-000001000000}" name="Date"/>
    <tableColumn id="2" xr3:uid="{00000000-0010-0000-0300-000002000000}" name="Requests"/>
    <tableColumn id="3" xr3:uid="{00000000-0010-0000-0300-000003000000}" name="Prompt Tokens"/>
    <tableColumn id="4" xr3:uid="{00000000-0010-0000-0300-000004000000}" name="Output Tokens"/>
    <tableColumn id="5" xr3:uid="{00000000-0010-0000-0300-000005000000}" name="Tool Rounds"/>
    <tableColumn id="6" xr3:uid="{00000000-0010-0000-0300-000006000000}" name="Premium Units"/>
    <tableColumn id="7" xr3:uid="{00000000-0010-0000-0300-000007000000}" name="Credits"/>
    <tableColumn id="8" xr3:uid="{00000000-0010-0000-0300-000008000000}" name="Sess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portMetadataTable" displayName="ExportMetadataTable" ref="A4:C15">
  <tableColumns count="3">
    <tableColumn id="1" xr3:uid="{00000000-0010-0000-0400-000001000000}" name="Key"/>
    <tableColumn id="2" xr3:uid="{00000000-0010-0000-0400-000002000000}" name="Value"/>
    <tableColumn id="3" xr3:uid="{00000000-0010-0000-0400-000003000000}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Contract" displayName="TableContract" ref="A18:D23">
  <tableColumns count="4">
    <tableColumn id="1" xr3:uid="{00000000-0010-0000-0500-000001000000}" name="Table Name"/>
    <tableColumn id="2" xr3:uid="{00000000-0010-0000-0500-000002000000}" name="Sheet"/>
    <tableColumn id="3" xr3:uid="{00000000-0010-0000-0500-000003000000}" name="Purpose"/>
    <tableColumn id="4" xr3:uid="{00000000-0010-0000-0500-000004000000}" name="Extension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magin8.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workbookViewId="0">
      <selection activeCell="O1" sqref="O1:Q2"/>
    </sheetView>
  </sheetViews>
  <sheetFormatPr defaultRowHeight="14.25" x14ac:dyDescent="0.45"/>
  <cols>
    <col min="1" max="17" width="11" customWidth="1"/>
  </cols>
  <sheetData>
    <row r="1" spans="1:17" ht="14.25" customHeight="1" x14ac:dyDescent="0.4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6"/>
      <c r="N1" s="16"/>
      <c r="O1" s="36" t="s">
        <v>146</v>
      </c>
      <c r="P1" s="36"/>
      <c r="Q1" s="36"/>
    </row>
    <row r="2" spans="1:17" ht="14.25" customHeight="1" x14ac:dyDescent="0.4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6"/>
      <c r="N2" s="16"/>
      <c r="O2" s="36"/>
      <c r="P2" s="36"/>
      <c r="Q2" s="36"/>
    </row>
    <row r="3" spans="1:17" x14ac:dyDescent="0.4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"/>
    </row>
    <row r="4" spans="1:17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3.05" customHeight="1" x14ac:dyDescent="0.45">
      <c r="A5" s="19">
        <f>SUM(ModelsTable[Requests])</f>
        <v>2386</v>
      </c>
      <c r="B5" s="20"/>
      <c r="C5" s="20"/>
      <c r="D5" s="20"/>
      <c r="E5" s="19">
        <f>SUM(ModelsTable[Prompt Tokens])</f>
        <v>90514441</v>
      </c>
      <c r="F5" s="20"/>
      <c r="G5" s="20"/>
      <c r="H5" s="20"/>
      <c r="I5" s="19">
        <f>SUM(ModelsTable[Output Tokens])</f>
        <v>2115773</v>
      </c>
      <c r="J5" s="20"/>
      <c r="K5" s="20"/>
      <c r="L5" s="20"/>
      <c r="M5" s="19">
        <f>SUM(DailyUsageTable[Tool Rounds])</f>
        <v>23532</v>
      </c>
      <c r="N5" s="20"/>
      <c r="O5" s="20"/>
      <c r="P5" s="20"/>
      <c r="Q5" s="19"/>
    </row>
    <row r="6" spans="1:17" ht="13.05" customHeight="1" x14ac:dyDescent="0.4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ht="11" customHeight="1" x14ac:dyDescent="0.45">
      <c r="A7" s="21" t="s">
        <v>2</v>
      </c>
      <c r="B7" s="20"/>
      <c r="C7" s="20"/>
      <c r="D7" s="20"/>
      <c r="E7" s="21" t="s">
        <v>3</v>
      </c>
      <c r="F7" s="20"/>
      <c r="G7" s="20"/>
      <c r="H7" s="20"/>
      <c r="I7" s="21" t="s">
        <v>4</v>
      </c>
      <c r="J7" s="20"/>
      <c r="K7" s="20"/>
      <c r="L7" s="20"/>
      <c r="M7" s="21" t="s">
        <v>5</v>
      </c>
      <c r="N7" s="20"/>
      <c r="O7" s="20"/>
      <c r="P7" s="20"/>
      <c r="Q7" s="19"/>
    </row>
    <row r="8" spans="1:17" ht="9.5" customHeight="1" x14ac:dyDescent="0.45">
      <c r="A8" s="22" t="str">
        <f>"≈ "&amp;TEXT(ROUND(SUM(ModelsTable[Requests])/MAX(1,ROUNDUP((MAX(DailyUsageTable[Date])-MIN(DailyUsageTable[Date])+1)/30.4375,0)),0),"#,##0")&amp;"/mo"</f>
        <v>≈ 159,0/mo</v>
      </c>
      <c r="B8" s="20"/>
      <c r="C8" s="20"/>
      <c r="D8" s="20"/>
      <c r="E8" s="22" t="str">
        <f>"≈ "&amp;TEXT(ROUND(SUM(ModelsTable[Prompt Tokens])/MAX(1,ROUNDUP((MAX(DailyUsageTable[Date])-MIN(DailyUsageTable[Date])+1)/30.4375,0)),0),"#,##0")&amp;"/mo"</f>
        <v>≈ 6034296,0/mo</v>
      </c>
      <c r="F8" s="20"/>
      <c r="G8" s="20"/>
      <c r="H8" s="20"/>
      <c r="I8" s="22" t="str">
        <f>"≈ "&amp;TEXT(ROUND(SUM(ModelsTable[Output Tokens])/MAX(1,ROUNDUP((MAX(DailyUsageTable[Date])-MIN(DailyUsageTable[Date])+1)/30.4375,0)),0),"#,##0")&amp;"/mo"</f>
        <v>≈ 141052,0/mo</v>
      </c>
      <c r="J8" s="20"/>
      <c r="K8" s="20"/>
      <c r="L8" s="20"/>
      <c r="M8" s="22" t="str">
        <f>"≈ "&amp;TEXT(ROUND(SUM(DailyUsageTable[Tool Rounds])/MAX(1,ROUNDUP((MAX(DailyUsageTable[Date])-MIN(DailyUsageTable[Date])+1)/30.4375,0)),0),"#,##0")&amp;"/mo"</f>
        <v>≈ 1569,0/mo</v>
      </c>
      <c r="N8" s="20"/>
      <c r="O8" s="20"/>
      <c r="P8" s="20"/>
      <c r="Q8" s="20"/>
    </row>
    <row r="9" spans="1:17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3.05" customHeight="1" x14ac:dyDescent="0.45">
      <c r="A10" s="23">
        <f>SUM(ModelsTable[Premium Units])</f>
        <v>6352</v>
      </c>
      <c r="B10" s="20"/>
      <c r="C10" s="20"/>
      <c r="D10" s="20"/>
      <c r="E10" s="19">
        <f>SUM(ModelsTable[Credits])</f>
        <v>40470</v>
      </c>
      <c r="F10" s="20"/>
      <c r="G10" s="20"/>
      <c r="H10" s="20"/>
      <c r="I10" s="19">
        <f>ROWS(WorkspacesTable[Workspace])</f>
        <v>30</v>
      </c>
      <c r="J10" s="20"/>
      <c r="K10" s="20"/>
      <c r="L10" s="20"/>
      <c r="M10" s="19">
        <f>INDEX(ExportMetadataTable[Value],MATCH("Sessions",ExportMetadataTable[Key],0))</f>
        <v>157</v>
      </c>
      <c r="N10" s="20"/>
      <c r="O10" s="20"/>
      <c r="P10" s="20"/>
      <c r="Q10" s="19"/>
    </row>
    <row r="11" spans="1:17" ht="13.05" customHeight="1" x14ac:dyDescent="0.4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ht="11" customHeight="1" x14ac:dyDescent="0.45">
      <c r="A12" s="21" t="s">
        <v>6</v>
      </c>
      <c r="B12" s="20"/>
      <c r="C12" s="20"/>
      <c r="D12" s="20"/>
      <c r="E12" s="21" t="s">
        <v>7</v>
      </c>
      <c r="F12" s="20"/>
      <c r="G12" s="20"/>
      <c r="H12" s="20"/>
      <c r="I12" s="21" t="s">
        <v>8</v>
      </c>
      <c r="J12" s="20"/>
      <c r="K12" s="20"/>
      <c r="L12" s="20"/>
      <c r="M12" s="21" t="s">
        <v>9</v>
      </c>
      <c r="N12" s="20"/>
      <c r="O12" s="20"/>
      <c r="P12" s="20"/>
      <c r="Q12" s="19"/>
    </row>
    <row r="13" spans="1:17" ht="9.5" customHeight="1" x14ac:dyDescent="0.45">
      <c r="A13" s="24" t="str">
        <f>"≈ "&amp;TEXT(ROUND(SUM(ModelsTable[Premium Units])/MAX(1,ROUNDUP((MAX(DailyUsageTable[Date])-MIN(DailyUsageTable[Date])+1)/30.4375,0)),1),"#,##0.0")&amp;"x/mo"</f>
        <v>≈ 423,500x/mo</v>
      </c>
      <c r="B13" s="20"/>
      <c r="C13" s="20"/>
      <c r="D13" s="20"/>
      <c r="E13" s="22" t="str">
        <f>"≈ "&amp;TEXT(ROUND(SUM(ModelsTable[Credits])/MAX(1,ROUNDUP((MAX(DailyUsageTable[Date])-MIN(DailyUsageTable[Date])+1)/30.4375,0)),0),"#,##0")&amp;"/mo"</f>
        <v>≈ 2698,0/mo</v>
      </c>
      <c r="F13" s="20"/>
      <c r="G13" s="20"/>
      <c r="H13" s="20"/>
      <c r="I13" s="22" t="str">
        <f>ROWS(ReposTable[Repository])&amp;" repositories"</f>
        <v>14 repositories</v>
      </c>
      <c r="J13" s="20"/>
      <c r="K13" s="20"/>
      <c r="L13" s="20"/>
      <c r="M13" s="22" t="str">
        <f>"≈ "&amp;TEXT(ROUND(INDEX(ExportMetadataTable[Value],MATCH("Sessions",ExportMetadataTable[Key],0))/MAX(1,ROUNDUP((MAX(DailyUsageTable[Date])-MIN(DailyUsageTable[Date])+1)/30.4375,0)),0),"#,##0")&amp;"/mo"</f>
        <v>≈ 10,0/mo</v>
      </c>
      <c r="N13" s="20"/>
      <c r="O13" s="20"/>
      <c r="P13" s="20"/>
      <c r="Q13" s="20"/>
    </row>
    <row r="14" spans="1:17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4.25" customHeight="1" x14ac:dyDescent="0.45">
      <c r="A15" s="25" t="s">
        <v>10</v>
      </c>
      <c r="B15" s="25"/>
      <c r="C15" s="25"/>
      <c r="D15" s="25"/>
      <c r="E15" s="25"/>
      <c r="F15" s="25"/>
      <c r="G15" s="25"/>
      <c r="H15" s="25"/>
      <c r="I15" s="25"/>
      <c r="J15" s="25"/>
      <c r="K15" s="25" t="s">
        <v>11</v>
      </c>
      <c r="L15" s="25"/>
      <c r="M15" s="25"/>
      <c r="N15" s="25"/>
      <c r="O15" s="25"/>
      <c r="P15" s="25"/>
      <c r="Q15" s="25"/>
    </row>
    <row r="16" spans="1:17" ht="14.25" customHeight="1" x14ac:dyDescent="0.4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</row>
    <row r="17" spans="1:17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4.25" customHeight="1" x14ac:dyDescent="0.45">
      <c r="A34" s="25" t="s">
        <v>12</v>
      </c>
      <c r="B34" s="25"/>
      <c r="C34" s="25"/>
      <c r="D34" s="25"/>
      <c r="E34" s="25"/>
      <c r="F34" s="25"/>
      <c r="G34" s="25"/>
      <c r="H34" s="25"/>
      <c r="I34" s="25" t="s">
        <v>13</v>
      </c>
      <c r="J34" s="25"/>
      <c r="K34" s="25"/>
      <c r="L34" s="25"/>
      <c r="M34" s="25"/>
      <c r="N34" s="25"/>
      <c r="O34" s="25"/>
      <c r="P34" s="25"/>
      <c r="Q34" s="25"/>
    </row>
    <row r="35" spans="1:17" ht="14.25" customHeight="1" x14ac:dyDescent="0.4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</row>
    <row r="36" spans="1:17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4.25" customHeight="1" x14ac:dyDescent="0.45">
      <c r="A55" s="29" t="s">
        <v>14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</row>
    <row r="56" spans="1:17" x14ac:dyDescent="0.4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</row>
    <row r="57" spans="1:17" x14ac:dyDescent="0.4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</row>
    <row r="58" spans="1:17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</sheetData>
  <mergeCells count="36">
    <mergeCell ref="A55:Q57"/>
    <mergeCell ref="I34:Q35"/>
    <mergeCell ref="K15:Q16"/>
    <mergeCell ref="Q5:Q6"/>
    <mergeCell ref="Q7:Q8"/>
    <mergeCell ref="Q10:Q11"/>
    <mergeCell ref="Q12:Q13"/>
    <mergeCell ref="O1:Q2"/>
    <mergeCell ref="A15:J16"/>
    <mergeCell ref="A34:H35"/>
    <mergeCell ref="M8:P8"/>
    <mergeCell ref="A10:D11"/>
    <mergeCell ref="A12:D12"/>
    <mergeCell ref="A13:D13"/>
    <mergeCell ref="E10:H11"/>
    <mergeCell ref="E12:H12"/>
    <mergeCell ref="E13:H13"/>
    <mergeCell ref="I10:L11"/>
    <mergeCell ref="I12:L12"/>
    <mergeCell ref="I13:L13"/>
    <mergeCell ref="M10:P11"/>
    <mergeCell ref="M12:P12"/>
    <mergeCell ref="M13:P13"/>
    <mergeCell ref="A8:D8"/>
    <mergeCell ref="E5:H6"/>
    <mergeCell ref="E7:H7"/>
    <mergeCell ref="E8:H8"/>
    <mergeCell ref="I5:L6"/>
    <mergeCell ref="I7:L7"/>
    <mergeCell ref="I8:L8"/>
    <mergeCell ref="A1:L2"/>
    <mergeCell ref="A3:P3"/>
    <mergeCell ref="A5:D6"/>
    <mergeCell ref="A7:D7"/>
    <mergeCell ref="M5:P6"/>
    <mergeCell ref="M7:P7"/>
  </mergeCells>
  <phoneticPr fontId="14" type="noConversion"/>
  <hyperlinks>
    <hyperlink ref="O1:Q2" r:id="rId1" display="By Emagin8 UG" xr:uid="{6F734994-3B16-4FC7-A2FA-F0ACD2A56FF3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0"/>
  <sheetViews>
    <sheetView workbookViewId="0">
      <selection activeCell="D26" sqref="D26"/>
    </sheetView>
  </sheetViews>
  <sheetFormatPr defaultRowHeight="14.25" x14ac:dyDescent="0.45"/>
  <cols>
    <col min="1" max="1" width="25" customWidth="1"/>
    <col min="2" max="2" width="12" customWidth="1"/>
    <col min="3" max="4" width="17" customWidth="1"/>
    <col min="5" max="5" width="16" customWidth="1"/>
    <col min="6" max="6" width="15" customWidth="1"/>
    <col min="7" max="7" width="12" customWidth="1"/>
    <col min="8" max="8" width="11" customWidth="1"/>
    <col min="10" max="10" width="11.06640625" bestFit="1" customWidth="1"/>
    <col min="12" max="12" width="13.19921875" bestFit="1" customWidth="1"/>
  </cols>
  <sheetData>
    <row r="1" spans="1:16" ht="17" customHeight="1" x14ac:dyDescent="0.45">
      <c r="A1" s="26" t="s">
        <v>15</v>
      </c>
      <c r="B1" s="26"/>
      <c r="C1" s="26"/>
      <c r="D1" s="26"/>
      <c r="E1" s="26"/>
      <c r="F1" s="26"/>
      <c r="G1" s="26"/>
      <c r="H1" s="26"/>
      <c r="I1" s="1"/>
      <c r="J1" s="1"/>
      <c r="K1" s="1"/>
      <c r="L1" s="1"/>
      <c r="M1" s="1"/>
      <c r="N1" s="1"/>
      <c r="O1" s="1"/>
      <c r="P1" s="1"/>
    </row>
    <row r="2" spans="1:16" ht="11" customHeight="1" x14ac:dyDescent="0.45">
      <c r="A2" s="27" t="s">
        <v>16</v>
      </c>
      <c r="B2" s="27"/>
      <c r="C2" s="27"/>
      <c r="D2" s="27"/>
      <c r="E2" s="27"/>
      <c r="F2" s="27"/>
      <c r="G2" s="27"/>
      <c r="H2" s="27"/>
      <c r="I2" s="1"/>
      <c r="J2" s="1"/>
      <c r="K2" s="1"/>
      <c r="L2" s="1"/>
      <c r="M2" s="1"/>
      <c r="N2" s="1"/>
      <c r="O2" s="1"/>
      <c r="P2" s="1"/>
    </row>
    <row r="3" spans="1:16" x14ac:dyDescent="0.45">
      <c r="A3" s="1"/>
      <c r="B3" s="1"/>
      <c r="C3" s="1"/>
      <c r="D3" s="1"/>
      <c r="E3" s="1"/>
      <c r="F3" s="1"/>
      <c r="G3" s="1"/>
      <c r="H3" s="1"/>
      <c r="I3" s="30" t="s">
        <v>147</v>
      </c>
      <c r="J3" s="30"/>
      <c r="K3" s="30"/>
      <c r="L3" s="30"/>
      <c r="M3" s="30"/>
      <c r="N3" s="30"/>
      <c r="O3" s="1"/>
      <c r="P3" s="1"/>
    </row>
    <row r="4" spans="1:16" ht="13.05" customHeight="1" x14ac:dyDescent="0.45">
      <c r="A4" s="2" t="s">
        <v>17</v>
      </c>
      <c r="B4" s="2" t="s">
        <v>2</v>
      </c>
      <c r="C4" s="2" t="s">
        <v>3</v>
      </c>
      <c r="D4" s="2" t="s">
        <v>4</v>
      </c>
      <c r="E4" s="2" t="s">
        <v>18</v>
      </c>
      <c r="F4" s="2" t="s">
        <v>6</v>
      </c>
      <c r="G4" s="2" t="s">
        <v>7</v>
      </c>
      <c r="H4" s="2" t="s">
        <v>19</v>
      </c>
      <c r="I4" s="4" t="s">
        <v>148</v>
      </c>
      <c r="J4" s="4" t="s">
        <v>149</v>
      </c>
      <c r="K4" s="4" t="s">
        <v>150</v>
      </c>
      <c r="L4" s="4" t="s">
        <v>151</v>
      </c>
      <c r="M4" s="4" t="s">
        <v>152</v>
      </c>
      <c r="N4" s="4" t="s">
        <v>153</v>
      </c>
      <c r="O4" s="1"/>
      <c r="P4" s="1"/>
    </row>
    <row r="5" spans="1:16" ht="12" customHeight="1" x14ac:dyDescent="0.45">
      <c r="A5" s="3" t="s">
        <v>20</v>
      </c>
      <c r="B5" s="4">
        <v>862</v>
      </c>
      <c r="C5" s="4">
        <v>1094511</v>
      </c>
      <c r="D5" s="4">
        <v>25584</v>
      </c>
      <c r="E5" s="4">
        <f t="shared" ref="E5:E19" si="0">C5+D5</f>
        <v>1120095</v>
      </c>
      <c r="F5" s="5">
        <v>862</v>
      </c>
      <c r="G5" s="4">
        <v>0</v>
      </c>
      <c r="H5" s="6">
        <f t="shared" ref="H5:H19" si="1">E5/SUM($E$5:$E$19)</f>
        <v>1.20921128391218E-2</v>
      </c>
      <c r="I5" s="34">
        <v>166</v>
      </c>
      <c r="J5" s="34">
        <v>30518218</v>
      </c>
      <c r="K5" s="34">
        <v>246083</v>
      </c>
      <c r="L5" s="34">
        <v>27810930</v>
      </c>
      <c r="M5" s="34">
        <v>3697.77</v>
      </c>
      <c r="N5" s="34">
        <v>100</v>
      </c>
      <c r="O5" s="1"/>
      <c r="P5" s="1"/>
    </row>
    <row r="6" spans="1:16" ht="12" customHeight="1" x14ac:dyDescent="0.45">
      <c r="A6" s="3" t="s">
        <v>21</v>
      </c>
      <c r="B6" s="4">
        <v>771</v>
      </c>
      <c r="C6" s="4">
        <v>51471147</v>
      </c>
      <c r="D6" s="4">
        <v>1203137</v>
      </c>
      <c r="E6" s="4">
        <f t="shared" si="0"/>
        <v>52674284</v>
      </c>
      <c r="F6" s="5">
        <v>2289</v>
      </c>
      <c r="G6" s="4">
        <v>27026</v>
      </c>
      <c r="H6" s="6">
        <f t="shared" si="1"/>
        <v>0.56865121784129746</v>
      </c>
      <c r="I6" s="34">
        <v>389</v>
      </c>
      <c r="J6" s="34">
        <v>44585451</v>
      </c>
      <c r="K6" s="34">
        <v>279349</v>
      </c>
      <c r="L6" s="34">
        <v>41443328</v>
      </c>
      <c r="M6" s="34">
        <v>1666.22</v>
      </c>
      <c r="N6" s="34">
        <v>99.5</v>
      </c>
      <c r="O6" s="1"/>
      <c r="P6" s="1"/>
    </row>
    <row r="7" spans="1:16" ht="12" customHeight="1" x14ac:dyDescent="0.45">
      <c r="A7" s="3" t="s">
        <v>22</v>
      </c>
      <c r="B7" s="4">
        <v>323</v>
      </c>
      <c r="C7" s="4">
        <v>18329273</v>
      </c>
      <c r="D7" s="4">
        <v>428446</v>
      </c>
      <c r="E7" s="4">
        <f t="shared" si="0"/>
        <v>18757719</v>
      </c>
      <c r="F7" s="5">
        <v>572</v>
      </c>
      <c r="G7" s="4">
        <v>4264</v>
      </c>
      <c r="H7" s="6">
        <f t="shared" si="1"/>
        <v>0.20250108674044517</v>
      </c>
      <c r="I7" s="34">
        <v>207</v>
      </c>
      <c r="J7" s="34">
        <v>24130611</v>
      </c>
      <c r="K7" s="34">
        <v>254629</v>
      </c>
      <c r="L7" s="34">
        <v>21684502</v>
      </c>
      <c r="M7" s="34">
        <v>3249.56</v>
      </c>
      <c r="N7" s="34">
        <v>98.6</v>
      </c>
      <c r="O7" s="1"/>
      <c r="P7" s="1"/>
    </row>
    <row r="8" spans="1:16" ht="12" customHeight="1" x14ac:dyDescent="0.45">
      <c r="A8" s="3" t="s">
        <v>23</v>
      </c>
      <c r="B8" s="4">
        <v>225</v>
      </c>
      <c r="C8" s="4">
        <v>207781</v>
      </c>
      <c r="D8" s="4">
        <v>4857</v>
      </c>
      <c r="E8" s="4">
        <f t="shared" si="0"/>
        <v>212638</v>
      </c>
      <c r="F8" s="5">
        <v>0</v>
      </c>
      <c r="G8" s="4">
        <v>0</v>
      </c>
      <c r="H8" s="6">
        <f t="shared" si="1"/>
        <v>2.2955576892006316E-3</v>
      </c>
      <c r="I8" s="34">
        <v>64</v>
      </c>
      <c r="J8" s="34">
        <v>3600219</v>
      </c>
      <c r="K8" s="34">
        <v>41346</v>
      </c>
      <c r="L8" s="34">
        <v>3442707</v>
      </c>
      <c r="M8" s="34">
        <v>373.93</v>
      </c>
      <c r="N8" s="34">
        <v>96.9</v>
      </c>
      <c r="O8" s="1"/>
      <c r="P8" s="1"/>
    </row>
    <row r="9" spans="1:16" ht="12" customHeight="1" x14ac:dyDescent="0.45">
      <c r="A9" s="3" t="s">
        <v>24</v>
      </c>
      <c r="B9" s="4">
        <v>77</v>
      </c>
      <c r="C9" s="4">
        <v>6763914</v>
      </c>
      <c r="D9" s="4">
        <v>158106</v>
      </c>
      <c r="E9" s="4">
        <f t="shared" si="0"/>
        <v>6922020</v>
      </c>
      <c r="F9" s="5">
        <v>1251</v>
      </c>
      <c r="G9" s="4">
        <v>3588</v>
      </c>
      <c r="H9" s="6">
        <f t="shared" si="1"/>
        <v>7.4727453398736612E-2</v>
      </c>
      <c r="I9" s="34">
        <v>2</v>
      </c>
      <c r="J9" s="34">
        <v>349180</v>
      </c>
      <c r="K9" s="34">
        <v>8085</v>
      </c>
      <c r="L9" s="34">
        <v>0</v>
      </c>
      <c r="M9" s="34">
        <v>476.9</v>
      </c>
      <c r="N9" s="34">
        <v>100</v>
      </c>
      <c r="O9" s="1"/>
      <c r="P9" s="1"/>
    </row>
    <row r="10" spans="1:16" ht="12" customHeight="1" x14ac:dyDescent="0.45">
      <c r="A10" s="3" t="s">
        <v>25</v>
      </c>
      <c r="B10" s="4">
        <v>51</v>
      </c>
      <c r="C10" s="4">
        <v>3810630</v>
      </c>
      <c r="D10" s="4">
        <v>89073</v>
      </c>
      <c r="E10" s="4">
        <f t="shared" si="0"/>
        <v>3899703</v>
      </c>
      <c r="F10" s="5">
        <v>51</v>
      </c>
      <c r="G10" s="4">
        <v>1213</v>
      </c>
      <c r="H10" s="6">
        <f t="shared" si="1"/>
        <v>4.2099686825726214E-2</v>
      </c>
      <c r="I10" s="34">
        <v>1</v>
      </c>
      <c r="J10" s="34">
        <v>2391</v>
      </c>
      <c r="K10" s="34">
        <v>964</v>
      </c>
      <c r="L10" s="34">
        <v>2304</v>
      </c>
      <c r="M10" s="34">
        <v>0</v>
      </c>
      <c r="N10" s="34">
        <v>100</v>
      </c>
      <c r="O10" s="1"/>
      <c r="P10" s="1"/>
    </row>
    <row r="11" spans="1:16" ht="12" customHeight="1" x14ac:dyDescent="0.45">
      <c r="A11" s="3" t="s">
        <v>26</v>
      </c>
      <c r="B11" s="4">
        <v>44</v>
      </c>
      <c r="C11" s="4">
        <v>6991884</v>
      </c>
      <c r="D11" s="4">
        <v>163435</v>
      </c>
      <c r="E11" s="4">
        <f t="shared" si="0"/>
        <v>7155319</v>
      </c>
      <c r="F11" s="5">
        <v>1188</v>
      </c>
      <c r="G11" s="4">
        <v>3733</v>
      </c>
      <c r="H11" s="6">
        <f t="shared" si="1"/>
        <v>7.7246059260966407E-2</v>
      </c>
      <c r="I11" s="34"/>
      <c r="J11" s="34"/>
      <c r="K11" s="34"/>
      <c r="L11" s="34"/>
      <c r="M11" s="34"/>
      <c r="N11" s="34"/>
      <c r="O11" s="1"/>
      <c r="P11" s="1"/>
    </row>
    <row r="12" spans="1:16" ht="12" customHeight="1" x14ac:dyDescent="0.45">
      <c r="A12" s="3" t="s">
        <v>27</v>
      </c>
      <c r="B12" s="4">
        <v>18</v>
      </c>
      <c r="C12" s="4">
        <v>725501</v>
      </c>
      <c r="D12" s="4">
        <v>16959</v>
      </c>
      <c r="E12" s="4">
        <f t="shared" si="0"/>
        <v>742460</v>
      </c>
      <c r="F12" s="5">
        <v>18</v>
      </c>
      <c r="G12" s="4">
        <v>264</v>
      </c>
      <c r="H12" s="6">
        <f t="shared" si="1"/>
        <v>8.015311289251691E-3</v>
      </c>
      <c r="I12" s="34"/>
      <c r="J12" s="34"/>
      <c r="K12" s="34"/>
      <c r="L12" s="34"/>
      <c r="M12" s="34"/>
      <c r="N12" s="34"/>
      <c r="O12" s="1"/>
      <c r="P12" s="1"/>
    </row>
    <row r="13" spans="1:16" ht="12" customHeight="1" x14ac:dyDescent="0.45">
      <c r="A13" s="3" t="s">
        <v>28</v>
      </c>
      <c r="B13" s="4">
        <v>5</v>
      </c>
      <c r="C13" s="4">
        <v>83494</v>
      </c>
      <c r="D13" s="4">
        <v>1952</v>
      </c>
      <c r="E13" s="4">
        <f t="shared" si="0"/>
        <v>85446</v>
      </c>
      <c r="F13" s="5">
        <v>5</v>
      </c>
      <c r="G13" s="4">
        <v>0</v>
      </c>
      <c r="H13" s="6">
        <f t="shared" si="1"/>
        <v>9.2244200148344682E-4</v>
      </c>
      <c r="I13" s="34"/>
      <c r="J13" s="34"/>
      <c r="K13" s="34"/>
      <c r="L13" s="34"/>
      <c r="M13" s="34"/>
      <c r="N13" s="34"/>
      <c r="O13" s="1"/>
      <c r="P13" s="1"/>
    </row>
    <row r="14" spans="1:16" ht="12" customHeight="1" x14ac:dyDescent="0.45">
      <c r="A14" s="3" t="s">
        <v>29</v>
      </c>
      <c r="B14" s="4">
        <v>4</v>
      </c>
      <c r="C14" s="4">
        <v>564281</v>
      </c>
      <c r="D14" s="4">
        <v>13190</v>
      </c>
      <c r="E14" s="4">
        <f t="shared" si="0"/>
        <v>577471</v>
      </c>
      <c r="F14" s="5">
        <v>4</v>
      </c>
      <c r="G14" s="4">
        <v>0</v>
      </c>
      <c r="H14" s="6">
        <f t="shared" si="1"/>
        <v>6.2341537934911817E-3</v>
      </c>
      <c r="I14" s="34"/>
      <c r="J14" s="34"/>
      <c r="K14" s="34"/>
      <c r="L14" s="34"/>
      <c r="M14" s="34"/>
      <c r="N14" s="34"/>
      <c r="O14" s="1"/>
      <c r="P14" s="1"/>
    </row>
    <row r="15" spans="1:16" ht="12" customHeight="1" x14ac:dyDescent="0.45">
      <c r="A15" s="3" t="s">
        <v>30</v>
      </c>
      <c r="B15" s="4">
        <v>2</v>
      </c>
      <c r="C15" s="4">
        <v>160112</v>
      </c>
      <c r="D15" s="4">
        <v>3743</v>
      </c>
      <c r="E15" s="4">
        <f t="shared" si="0"/>
        <v>163855</v>
      </c>
      <c r="F15" s="5">
        <v>108</v>
      </c>
      <c r="G15" s="4">
        <v>170</v>
      </c>
      <c r="H15" s="6">
        <f t="shared" si="1"/>
        <v>1.7689152699139829E-3</v>
      </c>
      <c r="I15" s="34"/>
      <c r="J15" s="34"/>
      <c r="K15" s="34"/>
      <c r="L15" s="34"/>
      <c r="M15" s="34"/>
      <c r="N15" s="34"/>
      <c r="O15" s="1"/>
      <c r="P15" s="1"/>
    </row>
    <row r="16" spans="1:16" ht="12" customHeight="1" x14ac:dyDescent="0.45">
      <c r="A16" s="3" t="s">
        <v>31</v>
      </c>
      <c r="B16" s="4">
        <v>1</v>
      </c>
      <c r="C16" s="4">
        <v>39238</v>
      </c>
      <c r="D16" s="4">
        <v>917</v>
      </c>
      <c r="E16" s="4">
        <f t="shared" si="0"/>
        <v>40155</v>
      </c>
      <c r="F16" s="5">
        <v>1</v>
      </c>
      <c r="G16" s="4">
        <v>0</v>
      </c>
      <c r="H16" s="6">
        <f t="shared" si="1"/>
        <v>4.3349786496228975E-4</v>
      </c>
      <c r="I16" s="34"/>
      <c r="J16" s="34"/>
      <c r="K16" s="34"/>
      <c r="L16" s="34"/>
      <c r="M16" s="34"/>
      <c r="N16" s="34"/>
      <c r="O16" s="1"/>
      <c r="P16" s="1"/>
    </row>
    <row r="17" spans="1:16" ht="12" customHeight="1" x14ac:dyDescent="0.45">
      <c r="A17" s="3" t="s">
        <v>32</v>
      </c>
      <c r="B17" s="4">
        <v>1</v>
      </c>
      <c r="C17" s="4">
        <v>39606</v>
      </c>
      <c r="D17" s="4">
        <v>926</v>
      </c>
      <c r="E17" s="4">
        <f t="shared" si="0"/>
        <v>40532</v>
      </c>
      <c r="F17" s="5">
        <v>1</v>
      </c>
      <c r="G17" s="4">
        <v>0</v>
      </c>
      <c r="H17" s="6">
        <f t="shared" si="1"/>
        <v>4.3756781129751033E-4</v>
      </c>
      <c r="I17" s="34"/>
      <c r="J17" s="34"/>
      <c r="K17" s="34"/>
      <c r="L17" s="34"/>
      <c r="M17" s="34"/>
      <c r="N17" s="34"/>
      <c r="O17" s="1"/>
      <c r="P17" s="1"/>
    </row>
    <row r="18" spans="1:16" ht="12" customHeight="1" x14ac:dyDescent="0.45">
      <c r="A18" s="3" t="s">
        <v>33</v>
      </c>
      <c r="B18" s="4">
        <v>1</v>
      </c>
      <c r="C18" s="4">
        <v>170621</v>
      </c>
      <c r="D18" s="4">
        <v>3988</v>
      </c>
      <c r="E18" s="4">
        <f t="shared" si="0"/>
        <v>174609</v>
      </c>
      <c r="F18" s="5">
        <v>1</v>
      </c>
      <c r="G18" s="4">
        <v>178</v>
      </c>
      <c r="H18" s="6">
        <f t="shared" si="1"/>
        <v>1.8850112987971721E-3</v>
      </c>
      <c r="I18" s="34"/>
      <c r="J18" s="34"/>
      <c r="K18" s="34"/>
      <c r="L18" s="34"/>
      <c r="M18" s="34"/>
      <c r="N18" s="34"/>
      <c r="O18" s="1"/>
      <c r="P18" s="1"/>
    </row>
    <row r="19" spans="1:16" ht="12" customHeight="1" x14ac:dyDescent="0.45">
      <c r="A19" s="3" t="s">
        <v>34</v>
      </c>
      <c r="B19" s="4">
        <v>1</v>
      </c>
      <c r="C19" s="4">
        <v>62448</v>
      </c>
      <c r="D19" s="4">
        <v>1460</v>
      </c>
      <c r="E19" s="4">
        <f t="shared" si="0"/>
        <v>63908</v>
      </c>
      <c r="F19" s="5">
        <v>1</v>
      </c>
      <c r="G19" s="4">
        <v>34</v>
      </c>
      <c r="H19" s="6">
        <f t="shared" si="1"/>
        <v>6.8992607530843017E-4</v>
      </c>
      <c r="I19" s="34"/>
      <c r="J19" s="34"/>
      <c r="K19" s="34"/>
      <c r="L19" s="34"/>
      <c r="M19" s="34"/>
      <c r="N19" s="34"/>
      <c r="O19" s="1"/>
      <c r="P19" s="1"/>
    </row>
    <row r="20" spans="1:16" x14ac:dyDescent="0.45">
      <c r="A20" s="1"/>
      <c r="B20" s="1"/>
      <c r="C20" s="1"/>
      <c r="D20" s="1"/>
      <c r="E20" s="1"/>
      <c r="F20" s="1"/>
      <c r="G20" s="1"/>
      <c r="H20" s="1"/>
      <c r="I20" s="32"/>
      <c r="J20" s="32"/>
      <c r="K20" s="32"/>
      <c r="L20" s="32"/>
      <c r="M20" s="32"/>
      <c r="N20" s="32"/>
      <c r="O20" s="1"/>
      <c r="P20" s="1"/>
    </row>
    <row r="21" spans="1:16" ht="14" customHeight="1" x14ac:dyDescent="0.45">
      <c r="A21" s="7" t="s">
        <v>35</v>
      </c>
      <c r="B21" s="8">
        <f>SUM(ModelsTable[Requests])</f>
        <v>2386</v>
      </c>
      <c r="C21" s="8">
        <f>SUM(ModelsTable[Prompt Tokens])</f>
        <v>90514441</v>
      </c>
      <c r="D21" s="8">
        <f>SUM(ModelsTable[Output Tokens])</f>
        <v>2115773</v>
      </c>
      <c r="E21" s="8">
        <f>SUM(ModelsTable[Tokens])</f>
        <v>92630214</v>
      </c>
      <c r="F21" s="9">
        <f>SUM(ModelsTable[Premium Units])</f>
        <v>6352</v>
      </c>
      <c r="G21" s="8">
        <f>SUM(ModelsTable[Credits])</f>
        <v>40470</v>
      </c>
      <c r="H21" s="10">
        <f>SUM(ModelsTable[Share])</f>
        <v>0.99999999999999989</v>
      </c>
      <c r="I21" s="33">
        <v>829</v>
      </c>
      <c r="J21" s="33">
        <v>103186070</v>
      </c>
      <c r="K21" s="33">
        <v>830456</v>
      </c>
      <c r="L21" s="33">
        <v>94383771</v>
      </c>
      <c r="M21" s="33">
        <v>9464.3799999999992</v>
      </c>
      <c r="N21" s="33">
        <v>99.176478000000003</v>
      </c>
      <c r="O21" s="1"/>
      <c r="P21" s="1"/>
    </row>
    <row r="22" spans="1:16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mergeCells count="3">
    <mergeCell ref="A1:H1"/>
    <mergeCell ref="A2:H2"/>
    <mergeCell ref="I3:N3"/>
  </mergeCells>
  <phoneticPr fontId="14" type="noConversion"/>
  <conditionalFormatting sqref="H5:H19">
    <cfRule type="dataBar" priority="1">
      <dataBar>
        <cfvo type="min"/>
        <cfvo type="max"/>
        <color rgb="FF5B96BF"/>
      </dataBar>
    </cfRule>
    <cfRule type="dataBar" priority="2">
      <dataBar>
        <cfvo type="min"/>
        <cfvo type="max"/>
        <color rgb="FF5B96BF"/>
      </dataBar>
      <extLst>
        <ext xmlns:x14="http://schemas.microsoft.com/office/spreadsheetml/2009/9/main" uri="{B025F937-C7B1-47D3-B67F-A62EFF666E3E}">
          <x14:id>{509BED65-8AEF-2D25-1039-0EA7B8708E8E}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9BED65-8AEF-2D25-1039-0EA7B8708E8E}">
            <x14:dataBar>
              <x14:cfvo type="min"/>
              <x14:cfvo type="max"/>
              <x14:negativeFillColor auto="1"/>
              <x14:axisColor auto="1"/>
            </x14:dataBar>
          </x14:cfRule>
          <xm:sqref>H5:H19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0"/>
  <sheetViews>
    <sheetView workbookViewId="0">
      <selection sqref="A1:I1"/>
    </sheetView>
  </sheetViews>
  <sheetFormatPr defaultRowHeight="14.25" x14ac:dyDescent="0.45"/>
  <cols>
    <col min="1" max="1" width="34" customWidth="1"/>
    <col min="2" max="3" width="18" customWidth="1"/>
    <col min="4" max="5" width="17" customWidth="1"/>
    <col min="6" max="6" width="11" customWidth="1"/>
    <col min="7" max="7" width="15" customWidth="1"/>
    <col min="8" max="8" width="12" customWidth="1"/>
    <col min="9" max="9" width="22" customWidth="1"/>
  </cols>
  <sheetData>
    <row r="1" spans="1:16" ht="17" customHeight="1" x14ac:dyDescent="0.45">
      <c r="A1" s="26" t="s">
        <v>36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</row>
    <row r="2" spans="1:16" ht="11" customHeight="1" x14ac:dyDescent="0.45">
      <c r="A2" s="27" t="s">
        <v>37</v>
      </c>
      <c r="B2" s="27"/>
      <c r="C2" s="27"/>
      <c r="D2" s="27"/>
      <c r="E2" s="27"/>
      <c r="F2" s="27"/>
      <c r="G2" s="27"/>
      <c r="H2" s="27"/>
      <c r="I2" s="27"/>
      <c r="J2" s="1"/>
      <c r="K2" s="1"/>
      <c r="L2" s="1"/>
      <c r="M2" s="1"/>
      <c r="N2" s="1"/>
      <c r="O2" s="1"/>
      <c r="P2" s="1"/>
    </row>
    <row r="3" spans="1:16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3.05" customHeight="1" x14ac:dyDescent="0.45">
      <c r="A4" s="2" t="s">
        <v>38</v>
      </c>
      <c r="B4" s="2" t="s">
        <v>39</v>
      </c>
      <c r="C4" s="2" t="s">
        <v>3</v>
      </c>
      <c r="D4" s="2" t="s">
        <v>4</v>
      </c>
      <c r="E4" s="2" t="s">
        <v>40</v>
      </c>
      <c r="F4" s="2" t="s">
        <v>19</v>
      </c>
      <c r="G4" s="2" t="s">
        <v>6</v>
      </c>
      <c r="H4" s="2" t="s">
        <v>7</v>
      </c>
      <c r="I4" s="2" t="s">
        <v>41</v>
      </c>
      <c r="J4" s="1"/>
      <c r="K4" s="1"/>
      <c r="L4" s="1"/>
      <c r="M4" s="1"/>
      <c r="N4" s="1"/>
      <c r="O4" s="1"/>
      <c r="P4" s="1"/>
    </row>
    <row r="5" spans="1:16" ht="12" customHeight="1" x14ac:dyDescent="0.45">
      <c r="A5" s="3" t="s">
        <v>42</v>
      </c>
      <c r="B5" s="11">
        <v>1027</v>
      </c>
      <c r="C5" s="11">
        <v>35832707</v>
      </c>
      <c r="D5" s="11">
        <v>1253181</v>
      </c>
      <c r="E5" s="11">
        <f t="shared" ref="E5:E18" si="0">C5+D5</f>
        <v>37085888</v>
      </c>
      <c r="F5" s="6">
        <f t="shared" ref="F5:F18" si="1">E5/SUM($E$5:$E$18)</f>
        <v>0.40036491764987175</v>
      </c>
      <c r="G5" s="5">
        <v>0</v>
      </c>
      <c r="H5" s="4">
        <v>0</v>
      </c>
      <c r="I5" s="3" t="s">
        <v>23</v>
      </c>
      <c r="J5" s="1"/>
      <c r="K5" s="1"/>
      <c r="L5" s="1"/>
      <c r="M5" s="1"/>
      <c r="N5" s="1"/>
      <c r="O5" s="1"/>
      <c r="P5" s="1"/>
    </row>
    <row r="6" spans="1:16" ht="12" customHeight="1" x14ac:dyDescent="0.45">
      <c r="A6" s="3" t="s">
        <v>43</v>
      </c>
      <c r="B6" s="11">
        <v>167</v>
      </c>
      <c r="C6" s="11">
        <v>12353220</v>
      </c>
      <c r="D6" s="11">
        <v>102845</v>
      </c>
      <c r="E6" s="11">
        <f t="shared" si="0"/>
        <v>12456065</v>
      </c>
      <c r="F6" s="6">
        <f t="shared" si="1"/>
        <v>0.13447086498148433</v>
      </c>
      <c r="G6" s="5">
        <v>950</v>
      </c>
      <c r="H6" s="4">
        <v>5730</v>
      </c>
      <c r="I6" s="3" t="s">
        <v>21</v>
      </c>
      <c r="J6" s="1"/>
      <c r="K6" s="1"/>
      <c r="L6" s="1"/>
      <c r="M6" s="1"/>
      <c r="N6" s="1"/>
      <c r="O6" s="1"/>
      <c r="P6" s="1"/>
    </row>
    <row r="7" spans="1:16" ht="12" customHeight="1" x14ac:dyDescent="0.45">
      <c r="A7" s="3" t="s">
        <v>44</v>
      </c>
      <c r="B7" s="11">
        <v>156.30000000000001</v>
      </c>
      <c r="C7" s="11">
        <v>9628482.5999999996</v>
      </c>
      <c r="D7" s="11">
        <v>74384.899999999994</v>
      </c>
      <c r="E7" s="11">
        <f t="shared" si="0"/>
        <v>9702867.5</v>
      </c>
      <c r="F7" s="6">
        <f t="shared" si="1"/>
        <v>0.1047484085484246</v>
      </c>
      <c r="G7" s="5">
        <v>811</v>
      </c>
      <c r="H7" s="4">
        <v>4564</v>
      </c>
      <c r="I7" s="3" t="s">
        <v>20</v>
      </c>
      <c r="J7" s="1"/>
      <c r="K7" s="1"/>
      <c r="L7" s="1"/>
      <c r="M7" s="1"/>
      <c r="N7" s="1"/>
      <c r="O7" s="1"/>
      <c r="P7" s="1"/>
    </row>
    <row r="8" spans="1:16" ht="12" customHeight="1" x14ac:dyDescent="0.45">
      <c r="A8" s="3" t="s">
        <v>45</v>
      </c>
      <c r="B8" s="11">
        <v>79.900000000000006</v>
      </c>
      <c r="C8" s="11">
        <v>5936417.9000000004</v>
      </c>
      <c r="D8" s="11">
        <v>10151.9</v>
      </c>
      <c r="E8" s="11">
        <f t="shared" si="0"/>
        <v>5946569.8000000007</v>
      </c>
      <c r="F8" s="6">
        <f t="shared" si="1"/>
        <v>6.4196869932741388E-2</v>
      </c>
      <c r="G8" s="5">
        <v>520</v>
      </c>
      <c r="H8" s="4">
        <v>2834</v>
      </c>
      <c r="I8" s="3" t="s">
        <v>20</v>
      </c>
      <c r="J8" s="1"/>
      <c r="K8" s="1"/>
      <c r="L8" s="1"/>
      <c r="M8" s="1"/>
      <c r="N8" s="1"/>
      <c r="O8" s="1"/>
      <c r="P8" s="1"/>
    </row>
    <row r="9" spans="1:16" ht="12" customHeight="1" x14ac:dyDescent="0.45">
      <c r="A9" s="3" t="s">
        <v>46</v>
      </c>
      <c r="B9" s="11">
        <v>29.9</v>
      </c>
      <c r="C9" s="11">
        <v>4419910.5999999996</v>
      </c>
      <c r="D9" s="11">
        <v>56332.1</v>
      </c>
      <c r="E9" s="11">
        <f t="shared" si="0"/>
        <v>4476242.6999999993</v>
      </c>
      <c r="F9" s="6">
        <f t="shared" si="1"/>
        <v>4.8323786664251897E-2</v>
      </c>
      <c r="G9" s="5">
        <v>340</v>
      </c>
      <c r="H9" s="4">
        <v>1980</v>
      </c>
      <c r="I9" s="3" t="s">
        <v>22</v>
      </c>
      <c r="J9" s="1"/>
      <c r="K9" s="1"/>
      <c r="L9" s="1"/>
      <c r="M9" s="1"/>
      <c r="N9" s="1"/>
      <c r="O9" s="1"/>
      <c r="P9" s="1"/>
    </row>
    <row r="10" spans="1:16" ht="12" customHeight="1" x14ac:dyDescent="0.45">
      <c r="A10" s="3" t="s">
        <v>47</v>
      </c>
      <c r="B10" s="11">
        <v>55.1</v>
      </c>
      <c r="C10" s="11">
        <v>3186626.8</v>
      </c>
      <c r="D10" s="11">
        <v>20689.900000000001</v>
      </c>
      <c r="E10" s="11">
        <f t="shared" si="0"/>
        <v>3207316.6999999997</v>
      </c>
      <c r="F10" s="6">
        <f t="shared" si="1"/>
        <v>3.4624951854262148E-2</v>
      </c>
      <c r="G10" s="5">
        <v>287</v>
      </c>
      <c r="H10" s="4">
        <v>1460</v>
      </c>
      <c r="I10" s="3" t="s">
        <v>20</v>
      </c>
      <c r="J10" s="1"/>
      <c r="K10" s="1"/>
      <c r="L10" s="1"/>
      <c r="M10" s="1"/>
      <c r="N10" s="1"/>
      <c r="O10" s="1"/>
      <c r="P10" s="1"/>
    </row>
    <row r="11" spans="1:16" ht="12" customHeight="1" x14ac:dyDescent="0.45">
      <c r="A11" s="3" t="s">
        <v>48</v>
      </c>
      <c r="B11" s="11">
        <v>47.3</v>
      </c>
      <c r="C11" s="11">
        <v>2443947.1</v>
      </c>
      <c r="D11" s="11">
        <v>14104.6</v>
      </c>
      <c r="E11" s="11">
        <f t="shared" si="0"/>
        <v>2458051.7000000002</v>
      </c>
      <c r="F11" s="6">
        <f t="shared" si="1"/>
        <v>2.6536176414317689E-2</v>
      </c>
      <c r="G11" s="5">
        <v>250</v>
      </c>
      <c r="H11" s="4">
        <v>1210</v>
      </c>
      <c r="I11" s="3" t="s">
        <v>21</v>
      </c>
      <c r="J11" s="1"/>
      <c r="K11" s="1"/>
      <c r="L11" s="1"/>
      <c r="M11" s="1"/>
      <c r="N11" s="1"/>
      <c r="O11" s="1"/>
      <c r="P11" s="1"/>
    </row>
    <row r="12" spans="1:16" ht="12" customHeight="1" x14ac:dyDescent="0.45">
      <c r="A12" s="3" t="s">
        <v>49</v>
      </c>
      <c r="B12" s="11">
        <v>46.3</v>
      </c>
      <c r="C12" s="11">
        <v>2443005</v>
      </c>
      <c r="D12" s="11">
        <v>14104.6</v>
      </c>
      <c r="E12" s="11">
        <f t="shared" si="0"/>
        <v>2457109.6</v>
      </c>
      <c r="F12" s="6">
        <f t="shared" si="1"/>
        <v>2.6526005866725086E-2</v>
      </c>
      <c r="G12" s="5">
        <v>246</v>
      </c>
      <c r="H12" s="4">
        <v>1197</v>
      </c>
      <c r="I12" s="3" t="s">
        <v>21</v>
      </c>
      <c r="J12" s="1"/>
      <c r="K12" s="1"/>
      <c r="L12" s="1"/>
      <c r="M12" s="1"/>
      <c r="N12" s="1"/>
      <c r="O12" s="1"/>
      <c r="P12" s="1"/>
    </row>
    <row r="13" spans="1:16" ht="12" customHeight="1" x14ac:dyDescent="0.45">
      <c r="A13" s="3" t="s">
        <v>50</v>
      </c>
      <c r="B13" s="11">
        <v>33.299999999999997</v>
      </c>
      <c r="C13" s="11">
        <v>2082249.7</v>
      </c>
      <c r="D13" s="11">
        <v>18695.8</v>
      </c>
      <c r="E13" s="11">
        <f t="shared" si="0"/>
        <v>2100945.5</v>
      </c>
      <c r="F13" s="6">
        <f t="shared" si="1"/>
        <v>2.2680995857356001E-2</v>
      </c>
      <c r="G13" s="5">
        <v>230</v>
      </c>
      <c r="H13" s="4">
        <v>1100</v>
      </c>
      <c r="I13" s="3" t="s">
        <v>20</v>
      </c>
      <c r="J13" s="1"/>
      <c r="K13" s="1"/>
      <c r="L13" s="1"/>
      <c r="M13" s="1"/>
      <c r="N13" s="1"/>
      <c r="O13" s="1"/>
      <c r="P13" s="1"/>
    </row>
    <row r="14" spans="1:16" ht="12" customHeight="1" x14ac:dyDescent="0.45">
      <c r="A14" s="3" t="s">
        <v>51</v>
      </c>
      <c r="B14" s="11">
        <v>26.2</v>
      </c>
      <c r="C14" s="11">
        <v>1659623.1</v>
      </c>
      <c r="D14" s="11">
        <v>21338.5</v>
      </c>
      <c r="E14" s="11">
        <f t="shared" si="0"/>
        <v>1680961.6</v>
      </c>
      <c r="F14" s="6">
        <f t="shared" si="1"/>
        <v>1.8147011945799887E-2</v>
      </c>
      <c r="G14" s="5">
        <v>180</v>
      </c>
      <c r="H14" s="4">
        <v>820</v>
      </c>
      <c r="I14" s="3" t="s">
        <v>20</v>
      </c>
      <c r="J14" s="1"/>
      <c r="K14" s="1"/>
      <c r="L14" s="1"/>
      <c r="M14" s="1"/>
      <c r="N14" s="1"/>
      <c r="O14" s="1"/>
      <c r="P14" s="1"/>
    </row>
    <row r="15" spans="1:16" ht="12" customHeight="1" x14ac:dyDescent="0.45">
      <c r="A15" s="3" t="s">
        <v>52</v>
      </c>
      <c r="B15" s="11">
        <v>23.1</v>
      </c>
      <c r="C15" s="11">
        <v>1546448.8</v>
      </c>
      <c r="D15" s="11">
        <v>24666.5</v>
      </c>
      <c r="E15" s="11">
        <f t="shared" si="0"/>
        <v>1571115.3</v>
      </c>
      <c r="F15" s="6">
        <f t="shared" si="1"/>
        <v>1.6961153733273251E-2</v>
      </c>
      <c r="G15" s="5">
        <v>170</v>
      </c>
      <c r="H15" s="4">
        <v>780</v>
      </c>
      <c r="I15" s="3" t="s">
        <v>20</v>
      </c>
      <c r="J15" s="1"/>
      <c r="K15" s="1"/>
      <c r="L15" s="1"/>
      <c r="M15" s="1"/>
      <c r="N15" s="1"/>
      <c r="O15" s="1"/>
      <c r="P15" s="1"/>
    </row>
    <row r="16" spans="1:16" ht="12" customHeight="1" x14ac:dyDescent="0.45">
      <c r="A16" s="3" t="s">
        <v>53</v>
      </c>
      <c r="B16" s="11">
        <v>9.1</v>
      </c>
      <c r="C16" s="11">
        <v>1261872.3999999999</v>
      </c>
      <c r="D16" s="11">
        <v>14942.9</v>
      </c>
      <c r="E16" s="11">
        <f t="shared" si="0"/>
        <v>1276815.2999999998</v>
      </c>
      <c r="F16" s="6">
        <f t="shared" si="1"/>
        <v>1.3784004644532073E-2</v>
      </c>
      <c r="G16" s="5">
        <v>142</v>
      </c>
      <c r="H16" s="4">
        <v>632</v>
      </c>
      <c r="I16" s="3" t="s">
        <v>22</v>
      </c>
      <c r="J16" s="1"/>
      <c r="K16" s="1"/>
      <c r="L16" s="1"/>
      <c r="M16" s="1"/>
      <c r="N16" s="1"/>
      <c r="O16" s="1"/>
      <c r="P16" s="1"/>
    </row>
    <row r="17" spans="1:16" ht="12" customHeight="1" x14ac:dyDescent="0.45">
      <c r="A17" s="3" t="s">
        <v>54</v>
      </c>
      <c r="B17" s="11">
        <v>19.399999999999999</v>
      </c>
      <c r="C17" s="11">
        <v>1222643</v>
      </c>
      <c r="D17" s="11">
        <v>11445.9</v>
      </c>
      <c r="E17" s="11">
        <f t="shared" si="0"/>
        <v>1234088.8999999999</v>
      </c>
      <c r="F17" s="6">
        <f t="shared" si="1"/>
        <v>1.3322746938704038E-2</v>
      </c>
      <c r="G17" s="5">
        <v>120</v>
      </c>
      <c r="H17" s="4">
        <v>580</v>
      </c>
      <c r="I17" s="3" t="s">
        <v>20</v>
      </c>
      <c r="J17" s="1"/>
      <c r="K17" s="1"/>
      <c r="L17" s="1"/>
      <c r="M17" s="1"/>
      <c r="N17" s="1"/>
      <c r="O17" s="1"/>
      <c r="P17" s="1"/>
    </row>
    <row r="18" spans="1:16" ht="12" customHeight="1" x14ac:dyDescent="0.45">
      <c r="A18" s="3" t="s">
        <v>55</v>
      </c>
      <c r="B18" s="11">
        <v>666.1</v>
      </c>
      <c r="C18" s="11">
        <v>6497287</v>
      </c>
      <c r="D18" s="11">
        <v>478889.4</v>
      </c>
      <c r="E18" s="11">
        <f t="shared" si="0"/>
        <v>6976176.4000000004</v>
      </c>
      <c r="F18" s="6">
        <f t="shared" si="1"/>
        <v>7.5312104968255827E-2</v>
      </c>
      <c r="G18" s="5">
        <v>2106</v>
      </c>
      <c r="H18" s="4">
        <v>13583</v>
      </c>
      <c r="I18" s="3" t="s">
        <v>56</v>
      </c>
      <c r="J18" s="1"/>
      <c r="K18" s="1"/>
      <c r="L18" s="1"/>
      <c r="M18" s="1"/>
      <c r="N18" s="1"/>
      <c r="O18" s="1"/>
      <c r="P18" s="1"/>
    </row>
    <row r="19" spans="1:16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" customHeight="1" x14ac:dyDescent="0.45">
      <c r="A20" s="7" t="s">
        <v>35</v>
      </c>
      <c r="B20" s="12">
        <f>SUM(ReposTable[Attributed Requests])</f>
        <v>2386</v>
      </c>
      <c r="C20" s="12">
        <f>SUM(ReposTable[Prompt Tokens])</f>
        <v>90514440.999999985</v>
      </c>
      <c r="D20" s="12">
        <f>SUM(ReposTable[Output Tokens])</f>
        <v>2115773</v>
      </c>
      <c r="E20" s="12">
        <f>SUM(ReposTable[Total Tokens])</f>
        <v>92630214</v>
      </c>
      <c r="F20" s="10">
        <f>SUM(ReposTable[Share])</f>
        <v>1</v>
      </c>
      <c r="G20" s="9">
        <f>SUM(ReposTable[Premium Units])</f>
        <v>6352</v>
      </c>
      <c r="H20" s="8">
        <f>SUM(ReposTable[Credits])</f>
        <v>36470</v>
      </c>
      <c r="I20" s="7"/>
      <c r="J20" s="1"/>
      <c r="K20" s="1"/>
      <c r="L20" s="1"/>
      <c r="M20" s="1"/>
      <c r="N20" s="1"/>
      <c r="O20" s="1"/>
      <c r="P20" s="1"/>
    </row>
    <row r="21" spans="1:16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mergeCells count="2">
    <mergeCell ref="A1:I1"/>
    <mergeCell ref="A2:I2"/>
  </mergeCells>
  <phoneticPr fontId="14" type="noConversion"/>
  <conditionalFormatting sqref="F5:F18">
    <cfRule type="dataBar" priority="1">
      <dataBar>
        <cfvo type="min"/>
        <cfvo type="max"/>
        <color rgb="FF8558C9"/>
      </dataBar>
    </cfRule>
    <cfRule type="dataBar" priority="2">
      <dataBar>
        <cfvo type="min"/>
        <cfvo type="max"/>
        <color rgb="FF8558C9"/>
      </dataBar>
      <extLst>
        <ext xmlns:x14="http://schemas.microsoft.com/office/spreadsheetml/2009/9/main" uri="{B025F937-C7B1-47D3-B67F-A62EFF666E3E}">
          <x14:id>{D6B9C02A-5C94-D931-3F04-E8F7BE50987D}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B9C02A-5C94-D931-3F04-E8F7BE50987D}">
            <x14:dataBar>
              <x14:cfvo type="min"/>
              <x14:cfvo type="max"/>
              <x14:negativeFillColor auto="1"/>
              <x14:axisColor auto="1"/>
            </x14:dataBar>
          </x14:cfRule>
          <xm:sqref>F5:F18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0"/>
  <sheetViews>
    <sheetView workbookViewId="0">
      <selection activeCell="C22" sqref="C22"/>
    </sheetView>
  </sheetViews>
  <sheetFormatPr defaultRowHeight="14.25" x14ac:dyDescent="0.45"/>
  <cols>
    <col min="1" max="1" width="42" customWidth="1"/>
    <col min="2" max="2" width="12" customWidth="1"/>
    <col min="3" max="4" width="17" customWidth="1"/>
    <col min="5" max="5" width="16" customWidth="1"/>
    <col min="6" max="6" width="15" customWidth="1"/>
    <col min="7" max="7" width="12" customWidth="1"/>
    <col min="8" max="8" width="22" customWidth="1"/>
    <col min="9" max="9" width="12" customWidth="1"/>
  </cols>
  <sheetData>
    <row r="1" spans="1:16" ht="17" customHeight="1" x14ac:dyDescent="0.45">
      <c r="A1" s="26" t="s">
        <v>8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N1" s="1"/>
      <c r="O1" s="1"/>
      <c r="P1" s="1"/>
    </row>
    <row r="2" spans="1:16" ht="11" customHeight="1" x14ac:dyDescent="0.45">
      <c r="A2" s="27" t="s">
        <v>57</v>
      </c>
      <c r="B2" s="27"/>
      <c r="C2" s="27"/>
      <c r="D2" s="27"/>
      <c r="E2" s="27"/>
      <c r="F2" s="27"/>
      <c r="G2" s="27"/>
      <c r="H2" s="27"/>
      <c r="I2" s="27"/>
      <c r="J2" s="1"/>
      <c r="K2" s="1"/>
      <c r="L2" s="1"/>
      <c r="M2" s="1"/>
      <c r="N2" s="1"/>
      <c r="O2" s="1"/>
      <c r="P2" s="1"/>
    </row>
    <row r="3" spans="1:16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3.05" customHeight="1" x14ac:dyDescent="0.45">
      <c r="A4" s="2" t="s">
        <v>58</v>
      </c>
      <c r="B4" s="2" t="s">
        <v>2</v>
      </c>
      <c r="C4" s="2" t="s">
        <v>3</v>
      </c>
      <c r="D4" s="2" t="s">
        <v>4</v>
      </c>
      <c r="E4" s="2" t="s">
        <v>40</v>
      </c>
      <c r="F4" s="2" t="s">
        <v>6</v>
      </c>
      <c r="G4" s="2" t="s">
        <v>7</v>
      </c>
      <c r="H4" s="2" t="s">
        <v>41</v>
      </c>
      <c r="I4" s="2" t="s">
        <v>59</v>
      </c>
      <c r="J4" s="1"/>
      <c r="K4" s="1"/>
      <c r="L4" s="1"/>
      <c r="M4" s="1"/>
      <c r="N4" s="1"/>
      <c r="O4" s="1"/>
      <c r="P4" s="1"/>
    </row>
    <row r="5" spans="1:16" ht="12" customHeight="1" x14ac:dyDescent="0.45">
      <c r="A5" s="13" t="s">
        <v>60</v>
      </c>
      <c r="B5" s="4">
        <v>688</v>
      </c>
      <c r="C5" s="4">
        <v>42241974</v>
      </c>
      <c r="D5" s="4">
        <v>282511</v>
      </c>
      <c r="E5" s="4">
        <f t="shared" ref="E5:E34" si="0">C5+D5</f>
        <v>42524485</v>
      </c>
      <c r="F5" s="5">
        <v>1844</v>
      </c>
      <c r="G5" s="4">
        <v>19968</v>
      </c>
      <c r="H5" s="3" t="s">
        <v>20</v>
      </c>
      <c r="I5" s="6">
        <f t="shared" ref="I5:I34" si="1">E5/SUM($E$5:$E$34)</f>
        <v>0.45907790950369604</v>
      </c>
      <c r="J5" s="1"/>
      <c r="K5" s="1"/>
      <c r="L5" s="1"/>
      <c r="M5" s="1"/>
      <c r="N5" s="1"/>
      <c r="O5" s="1"/>
      <c r="P5" s="1"/>
    </row>
    <row r="6" spans="1:16" ht="12" customHeight="1" x14ac:dyDescent="0.45">
      <c r="A6" s="13" t="s">
        <v>61</v>
      </c>
      <c r="B6" s="4">
        <v>347</v>
      </c>
      <c r="C6" s="4">
        <v>162296</v>
      </c>
      <c r="D6" s="4">
        <v>236787</v>
      </c>
      <c r="E6" s="4">
        <f t="shared" si="0"/>
        <v>399083</v>
      </c>
      <c r="F6" s="5">
        <v>144</v>
      </c>
      <c r="G6" s="4">
        <v>0</v>
      </c>
      <c r="H6" s="3" t="s">
        <v>25</v>
      </c>
      <c r="I6" s="6">
        <f t="shared" si="1"/>
        <v>4.3083458708192126E-3</v>
      </c>
      <c r="J6" s="1"/>
      <c r="K6" s="1"/>
      <c r="L6" s="1"/>
      <c r="M6" s="1"/>
      <c r="N6" s="1"/>
      <c r="O6" s="1"/>
      <c r="P6" s="1"/>
    </row>
    <row r="7" spans="1:16" ht="12" customHeight="1" x14ac:dyDescent="0.45">
      <c r="A7" s="13" t="s">
        <v>62</v>
      </c>
      <c r="B7" s="4">
        <v>296</v>
      </c>
      <c r="C7" s="4">
        <v>127706</v>
      </c>
      <c r="D7" s="4">
        <v>239619</v>
      </c>
      <c r="E7" s="4">
        <f t="shared" si="0"/>
        <v>367325</v>
      </c>
      <c r="F7" s="5">
        <v>296</v>
      </c>
      <c r="G7" s="4">
        <v>0</v>
      </c>
      <c r="H7" s="3" t="s">
        <v>23</v>
      </c>
      <c r="I7" s="6">
        <f t="shared" si="1"/>
        <v>3.9654987734347672E-3</v>
      </c>
      <c r="J7" s="1"/>
      <c r="K7" s="1"/>
      <c r="L7" s="1"/>
      <c r="M7" s="1"/>
      <c r="N7" s="1"/>
      <c r="O7" s="1"/>
      <c r="P7" s="1"/>
    </row>
    <row r="8" spans="1:16" ht="12" customHeight="1" x14ac:dyDescent="0.45">
      <c r="A8" s="13" t="s">
        <v>63</v>
      </c>
      <c r="B8" s="4">
        <v>198</v>
      </c>
      <c r="C8" s="4">
        <v>16272487</v>
      </c>
      <c r="D8" s="4">
        <v>144614</v>
      </c>
      <c r="E8" s="4">
        <f t="shared" si="0"/>
        <v>16417101</v>
      </c>
      <c r="F8" s="5">
        <v>1778</v>
      </c>
      <c r="G8" s="4">
        <v>7345</v>
      </c>
      <c r="H8" s="3" t="s">
        <v>21</v>
      </c>
      <c r="I8" s="6">
        <f t="shared" si="1"/>
        <v>0.1772326791774442</v>
      </c>
      <c r="J8" s="1"/>
      <c r="K8" s="1"/>
      <c r="L8" s="1"/>
      <c r="M8" s="1"/>
      <c r="N8" s="1"/>
      <c r="O8" s="1"/>
      <c r="P8" s="1"/>
    </row>
    <row r="9" spans="1:16" ht="12" customHeight="1" x14ac:dyDescent="0.45">
      <c r="A9" s="13" t="s">
        <v>64</v>
      </c>
      <c r="B9" s="4">
        <v>149</v>
      </c>
      <c r="C9" s="4">
        <v>11042365</v>
      </c>
      <c r="D9" s="4">
        <v>738723</v>
      </c>
      <c r="E9" s="4">
        <f t="shared" si="0"/>
        <v>11781088</v>
      </c>
      <c r="F9" s="5">
        <v>671</v>
      </c>
      <c r="G9" s="4">
        <v>3894</v>
      </c>
      <c r="H9" s="3" t="s">
        <v>21</v>
      </c>
      <c r="I9" s="6">
        <f t="shared" si="1"/>
        <v>0.12718407408623714</v>
      </c>
      <c r="J9" s="1"/>
      <c r="K9" s="1"/>
      <c r="L9" s="1"/>
      <c r="M9" s="1"/>
      <c r="N9" s="1"/>
      <c r="O9" s="1"/>
      <c r="P9" s="1"/>
    </row>
    <row r="10" spans="1:16" ht="12" customHeight="1" x14ac:dyDescent="0.45">
      <c r="A10" s="13" t="s">
        <v>65</v>
      </c>
      <c r="B10" s="4">
        <v>134</v>
      </c>
      <c r="C10" s="4">
        <v>149304</v>
      </c>
      <c r="D10" s="4">
        <v>82461</v>
      </c>
      <c r="E10" s="4">
        <f t="shared" si="0"/>
        <v>231765</v>
      </c>
      <c r="F10" s="5">
        <v>134</v>
      </c>
      <c r="G10" s="4">
        <v>0</v>
      </c>
      <c r="H10" s="3" t="s">
        <v>23</v>
      </c>
      <c r="I10" s="6">
        <f t="shared" si="1"/>
        <v>2.5020453909347547E-3</v>
      </c>
      <c r="J10" s="1"/>
      <c r="K10" s="1"/>
      <c r="L10" s="1"/>
      <c r="M10" s="1"/>
      <c r="N10" s="1"/>
      <c r="O10" s="1"/>
      <c r="P10" s="1"/>
    </row>
    <row r="11" spans="1:16" ht="12" customHeight="1" x14ac:dyDescent="0.45">
      <c r="A11" s="13" t="s">
        <v>66</v>
      </c>
      <c r="B11" s="4">
        <v>127</v>
      </c>
      <c r="C11" s="4">
        <v>62776</v>
      </c>
      <c r="D11" s="4">
        <v>90688</v>
      </c>
      <c r="E11" s="4">
        <f t="shared" si="0"/>
        <v>153464</v>
      </c>
      <c r="F11" s="5">
        <v>127</v>
      </c>
      <c r="G11" s="4">
        <v>0</v>
      </c>
      <c r="H11" s="3" t="s">
        <v>23</v>
      </c>
      <c r="I11" s="6">
        <f t="shared" si="1"/>
        <v>1.6567380487753165E-3</v>
      </c>
      <c r="J11" s="1"/>
      <c r="K11" s="1"/>
      <c r="L11" s="1"/>
      <c r="M11" s="1"/>
      <c r="N11" s="1"/>
      <c r="O11" s="1"/>
      <c r="P11" s="1"/>
    </row>
    <row r="12" spans="1:16" ht="12" customHeight="1" x14ac:dyDescent="0.45">
      <c r="A12" s="13" t="s">
        <v>67</v>
      </c>
      <c r="B12" s="4">
        <v>106</v>
      </c>
      <c r="C12" s="4">
        <v>8413543</v>
      </c>
      <c r="D12" s="4">
        <v>42779</v>
      </c>
      <c r="E12" s="4">
        <f t="shared" si="0"/>
        <v>8456322</v>
      </c>
      <c r="F12" s="5">
        <v>283</v>
      </c>
      <c r="G12" s="4">
        <v>4097</v>
      </c>
      <c r="H12" s="3" t="s">
        <v>20</v>
      </c>
      <c r="I12" s="6">
        <f t="shared" si="1"/>
        <v>9.1291184969085795E-2</v>
      </c>
      <c r="J12" s="1"/>
      <c r="K12" s="1"/>
      <c r="L12" s="1"/>
      <c r="M12" s="1"/>
      <c r="N12" s="1"/>
      <c r="O12" s="1"/>
      <c r="P12" s="1"/>
    </row>
    <row r="13" spans="1:16" ht="12" customHeight="1" x14ac:dyDescent="0.45">
      <c r="A13" s="13" t="s">
        <v>68</v>
      </c>
      <c r="B13" s="4">
        <v>102</v>
      </c>
      <c r="C13" s="4">
        <v>6233371</v>
      </c>
      <c r="D13" s="4">
        <v>101648</v>
      </c>
      <c r="E13" s="4">
        <f t="shared" si="0"/>
        <v>6335019</v>
      </c>
      <c r="F13" s="5">
        <v>268</v>
      </c>
      <c r="G13" s="4">
        <v>3172</v>
      </c>
      <c r="H13" s="3" t="s">
        <v>20</v>
      </c>
      <c r="I13" s="6">
        <f t="shared" si="1"/>
        <v>6.8390417407434678E-2</v>
      </c>
      <c r="J13" s="1"/>
      <c r="K13" s="1"/>
      <c r="L13" s="1"/>
      <c r="M13" s="1"/>
      <c r="N13" s="1"/>
      <c r="O13" s="1"/>
      <c r="P13" s="1"/>
    </row>
    <row r="14" spans="1:16" ht="12" customHeight="1" x14ac:dyDescent="0.45">
      <c r="A14" s="13" t="s">
        <v>69</v>
      </c>
      <c r="B14" s="4">
        <v>85</v>
      </c>
      <c r="C14" s="4">
        <v>794549</v>
      </c>
      <c r="D14" s="4">
        <v>23557</v>
      </c>
      <c r="E14" s="4">
        <f t="shared" si="0"/>
        <v>818106</v>
      </c>
      <c r="F14" s="5">
        <v>113</v>
      </c>
      <c r="G14" s="4">
        <v>378</v>
      </c>
      <c r="H14" s="3" t="s">
        <v>23</v>
      </c>
      <c r="I14" s="6">
        <f t="shared" si="1"/>
        <v>8.8319562772466442E-3</v>
      </c>
      <c r="J14" s="1"/>
      <c r="K14" s="1"/>
      <c r="L14" s="1"/>
      <c r="M14" s="1"/>
      <c r="N14" s="1"/>
      <c r="O14" s="1"/>
      <c r="P14" s="1"/>
    </row>
    <row r="15" spans="1:16" ht="12" customHeight="1" x14ac:dyDescent="0.45">
      <c r="A15" s="13" t="s">
        <v>70</v>
      </c>
      <c r="B15" s="4">
        <v>48</v>
      </c>
      <c r="C15" s="4">
        <v>16647</v>
      </c>
      <c r="D15" s="4">
        <v>21905</v>
      </c>
      <c r="E15" s="4">
        <f t="shared" si="0"/>
        <v>38552</v>
      </c>
      <c r="F15" s="5">
        <v>48</v>
      </c>
      <c r="G15" s="4">
        <v>0</v>
      </c>
      <c r="H15" s="3" t="s">
        <v>23</v>
      </c>
      <c r="I15" s="6">
        <f t="shared" si="1"/>
        <v>4.1619249632738622E-4</v>
      </c>
      <c r="J15" s="1"/>
      <c r="K15" s="1"/>
      <c r="L15" s="1"/>
      <c r="M15" s="1"/>
      <c r="N15" s="1"/>
      <c r="O15" s="1"/>
      <c r="P15" s="1"/>
    </row>
    <row r="16" spans="1:16" ht="12" customHeight="1" x14ac:dyDescent="0.45">
      <c r="A16" s="13" t="s">
        <v>71</v>
      </c>
      <c r="B16" s="4">
        <v>20</v>
      </c>
      <c r="C16" s="4">
        <v>9536</v>
      </c>
      <c r="D16" s="4">
        <v>10901</v>
      </c>
      <c r="E16" s="4">
        <f t="shared" si="0"/>
        <v>20437</v>
      </c>
      <c r="F16" s="5">
        <v>0</v>
      </c>
      <c r="G16" s="4">
        <v>0</v>
      </c>
      <c r="H16" s="3" t="s">
        <v>25</v>
      </c>
      <c r="I16" s="6">
        <f t="shared" si="1"/>
        <v>2.2062995557799316E-4</v>
      </c>
      <c r="J16" s="1"/>
      <c r="K16" s="1"/>
      <c r="L16" s="1"/>
      <c r="M16" s="1"/>
      <c r="N16" s="1"/>
      <c r="O16" s="1"/>
      <c r="P16" s="1"/>
    </row>
    <row r="17" spans="1:16" ht="12" customHeight="1" x14ac:dyDescent="0.45">
      <c r="A17" s="13" t="s">
        <v>72</v>
      </c>
      <c r="B17" s="4">
        <v>20</v>
      </c>
      <c r="C17" s="4">
        <v>1964011</v>
      </c>
      <c r="D17" s="4">
        <v>35967</v>
      </c>
      <c r="E17" s="4">
        <f t="shared" si="0"/>
        <v>1999978</v>
      </c>
      <c r="F17" s="5">
        <v>540</v>
      </c>
      <c r="G17" s="4">
        <v>1072</v>
      </c>
      <c r="H17" s="3" t="s">
        <v>22</v>
      </c>
      <c r="I17" s="6">
        <f t="shared" si="1"/>
        <v>2.1590989739049937E-2</v>
      </c>
      <c r="J17" s="1"/>
      <c r="K17" s="1"/>
      <c r="L17" s="1"/>
      <c r="M17" s="1"/>
      <c r="N17" s="1"/>
      <c r="O17" s="1"/>
      <c r="P17" s="1"/>
    </row>
    <row r="18" spans="1:16" ht="12" customHeight="1" x14ac:dyDescent="0.45">
      <c r="A18" s="13" t="s">
        <v>73</v>
      </c>
      <c r="B18" s="4">
        <v>17</v>
      </c>
      <c r="C18" s="4">
        <v>6484</v>
      </c>
      <c r="D18" s="4">
        <v>10186</v>
      </c>
      <c r="E18" s="4">
        <f t="shared" si="0"/>
        <v>16670</v>
      </c>
      <c r="F18" s="5">
        <v>17</v>
      </c>
      <c r="G18" s="4">
        <v>0</v>
      </c>
      <c r="H18" s="3" t="s">
        <v>23</v>
      </c>
      <c r="I18" s="6">
        <f t="shared" si="1"/>
        <v>1.7996287906665097E-4</v>
      </c>
      <c r="J18" s="1"/>
      <c r="K18" s="1"/>
      <c r="L18" s="1"/>
      <c r="M18" s="1"/>
      <c r="N18" s="1"/>
      <c r="O18" s="1"/>
      <c r="P18" s="1"/>
    </row>
    <row r="19" spans="1:16" ht="12" customHeight="1" x14ac:dyDescent="0.45">
      <c r="A19" s="13" t="s">
        <v>74</v>
      </c>
      <c r="B19" s="4">
        <v>17</v>
      </c>
      <c r="C19" s="4">
        <v>7599</v>
      </c>
      <c r="D19" s="4">
        <v>16133</v>
      </c>
      <c r="E19" s="4">
        <f t="shared" si="0"/>
        <v>23732</v>
      </c>
      <c r="F19" s="5">
        <v>17</v>
      </c>
      <c r="G19" s="4">
        <v>0</v>
      </c>
      <c r="H19" s="3" t="s">
        <v>23</v>
      </c>
      <c r="I19" s="6">
        <f t="shared" si="1"/>
        <v>2.5620150246009361E-4</v>
      </c>
      <c r="J19" s="1"/>
      <c r="K19" s="1"/>
      <c r="L19" s="1"/>
      <c r="M19" s="1"/>
      <c r="N19" s="1"/>
      <c r="O19" s="1"/>
      <c r="P19" s="1"/>
    </row>
    <row r="20" spans="1:16" ht="12" customHeight="1" x14ac:dyDescent="0.45">
      <c r="A20" s="13" t="s">
        <v>75</v>
      </c>
      <c r="B20" s="4">
        <v>14</v>
      </c>
      <c r="C20" s="4">
        <v>2038286</v>
      </c>
      <c r="D20" s="4">
        <v>18862</v>
      </c>
      <c r="E20" s="4">
        <f t="shared" si="0"/>
        <v>2057148</v>
      </c>
      <c r="F20" s="5">
        <v>14</v>
      </c>
      <c r="G20" s="4">
        <v>383</v>
      </c>
      <c r="H20" s="3" t="s">
        <v>21</v>
      </c>
      <c r="I20" s="6">
        <f t="shared" si="1"/>
        <v>2.220817496977822E-2</v>
      </c>
      <c r="J20" s="1"/>
      <c r="K20" s="1"/>
      <c r="L20" s="1"/>
      <c r="M20" s="1"/>
      <c r="N20" s="1"/>
      <c r="O20" s="1"/>
      <c r="P20" s="1"/>
    </row>
    <row r="21" spans="1:16" ht="12" customHeight="1" x14ac:dyDescent="0.45">
      <c r="A21" s="13" t="s">
        <v>76</v>
      </c>
      <c r="B21" s="4">
        <v>2</v>
      </c>
      <c r="C21" s="4">
        <v>250000</v>
      </c>
      <c r="D21" s="4">
        <v>3000</v>
      </c>
      <c r="E21" s="4">
        <f t="shared" si="0"/>
        <v>253000</v>
      </c>
      <c r="F21" s="5">
        <v>8</v>
      </c>
      <c r="G21" s="4">
        <v>40</v>
      </c>
      <c r="H21" s="3" t="s">
        <v>21</v>
      </c>
      <c r="I21" s="6">
        <f t="shared" si="1"/>
        <v>2.7312902461825253E-3</v>
      </c>
      <c r="J21" s="1"/>
      <c r="K21" s="1"/>
      <c r="L21" s="1"/>
      <c r="M21" s="1"/>
      <c r="N21" s="1"/>
      <c r="O21" s="1"/>
      <c r="P21" s="1"/>
    </row>
    <row r="22" spans="1:16" ht="12" customHeight="1" x14ac:dyDescent="0.45">
      <c r="A22" s="13" t="s">
        <v>77</v>
      </c>
      <c r="B22" s="4">
        <v>2</v>
      </c>
      <c r="C22" s="4">
        <v>180000</v>
      </c>
      <c r="D22" s="4">
        <v>2800</v>
      </c>
      <c r="E22" s="4">
        <f t="shared" si="0"/>
        <v>182800</v>
      </c>
      <c r="F22" s="5">
        <v>8</v>
      </c>
      <c r="G22" s="4">
        <v>30</v>
      </c>
      <c r="H22" s="3" t="s">
        <v>22</v>
      </c>
      <c r="I22" s="6">
        <f t="shared" si="1"/>
        <v>1.9734381699690342E-3</v>
      </c>
      <c r="J22" s="1"/>
      <c r="K22" s="1"/>
      <c r="L22" s="1"/>
      <c r="M22" s="1"/>
      <c r="N22" s="1"/>
      <c r="O22" s="1"/>
      <c r="P22" s="1"/>
    </row>
    <row r="23" spans="1:16" ht="12" customHeight="1" x14ac:dyDescent="0.45">
      <c r="A23" s="13" t="s">
        <v>78</v>
      </c>
      <c r="B23" s="4">
        <v>2</v>
      </c>
      <c r="C23" s="4">
        <v>120000</v>
      </c>
      <c r="D23" s="4">
        <v>2200</v>
      </c>
      <c r="E23" s="4">
        <f t="shared" si="0"/>
        <v>122200</v>
      </c>
      <c r="F23" s="5">
        <v>7</v>
      </c>
      <c r="G23" s="4">
        <v>25</v>
      </c>
      <c r="H23" s="3" t="s">
        <v>20</v>
      </c>
      <c r="I23" s="6">
        <f t="shared" si="1"/>
        <v>1.319223984519781E-3</v>
      </c>
      <c r="J23" s="1"/>
      <c r="K23" s="1"/>
      <c r="L23" s="1"/>
      <c r="M23" s="1"/>
      <c r="N23" s="1"/>
      <c r="O23" s="1"/>
      <c r="P23" s="1"/>
    </row>
    <row r="24" spans="1:16" ht="12" customHeight="1" x14ac:dyDescent="0.45">
      <c r="A24" s="13" t="s">
        <v>79</v>
      </c>
      <c r="B24" s="4">
        <v>2</v>
      </c>
      <c r="C24" s="4">
        <v>100000</v>
      </c>
      <c r="D24" s="4">
        <v>1800</v>
      </c>
      <c r="E24" s="4">
        <f t="shared" si="0"/>
        <v>101800</v>
      </c>
      <c r="F24" s="5">
        <v>7</v>
      </c>
      <c r="G24" s="4">
        <v>20</v>
      </c>
      <c r="H24" s="3" t="s">
        <v>21</v>
      </c>
      <c r="I24" s="6">
        <f t="shared" si="1"/>
        <v>1.0989934666457749E-3</v>
      </c>
      <c r="J24" s="1"/>
      <c r="K24" s="1"/>
      <c r="L24" s="1"/>
      <c r="M24" s="1"/>
      <c r="N24" s="1"/>
      <c r="O24" s="1"/>
      <c r="P24" s="1"/>
    </row>
    <row r="25" spans="1:16" ht="12" customHeight="1" x14ac:dyDescent="0.45">
      <c r="A25" s="13" t="s">
        <v>80</v>
      </c>
      <c r="B25" s="4">
        <v>1</v>
      </c>
      <c r="C25" s="4">
        <v>80000</v>
      </c>
      <c r="D25" s="4">
        <v>1400</v>
      </c>
      <c r="E25" s="4">
        <f t="shared" si="0"/>
        <v>81400</v>
      </c>
      <c r="F25" s="5">
        <v>5</v>
      </c>
      <c r="G25" s="4">
        <v>15</v>
      </c>
      <c r="H25" s="3" t="s">
        <v>20</v>
      </c>
      <c r="I25" s="6">
        <f t="shared" si="1"/>
        <v>8.7876294877176899E-4</v>
      </c>
      <c r="J25" s="1"/>
      <c r="K25" s="1"/>
      <c r="L25" s="1"/>
      <c r="M25" s="1"/>
      <c r="N25" s="1"/>
      <c r="O25" s="1"/>
      <c r="P25" s="1"/>
    </row>
    <row r="26" spans="1:16" ht="12" customHeight="1" x14ac:dyDescent="0.45">
      <c r="A26" s="13" t="s">
        <v>81</v>
      </c>
      <c r="B26" s="4">
        <v>1</v>
      </c>
      <c r="C26" s="4">
        <v>60000</v>
      </c>
      <c r="D26" s="4">
        <v>1200</v>
      </c>
      <c r="E26" s="4">
        <f t="shared" si="0"/>
        <v>61200</v>
      </c>
      <c r="F26" s="5">
        <v>5</v>
      </c>
      <c r="G26" s="4">
        <v>10</v>
      </c>
      <c r="H26" s="3" t="s">
        <v>25</v>
      </c>
      <c r="I26" s="6">
        <f t="shared" si="1"/>
        <v>6.6069155362201795E-4</v>
      </c>
      <c r="J26" s="1"/>
      <c r="K26" s="1"/>
      <c r="L26" s="1"/>
      <c r="M26" s="1"/>
      <c r="N26" s="1"/>
      <c r="O26" s="1"/>
      <c r="P26" s="1"/>
    </row>
    <row r="27" spans="1:16" ht="12" customHeight="1" x14ac:dyDescent="0.45">
      <c r="A27" s="13" t="s">
        <v>82</v>
      </c>
      <c r="B27" s="4">
        <v>1</v>
      </c>
      <c r="C27" s="4">
        <v>50000</v>
      </c>
      <c r="D27" s="4">
        <v>1100</v>
      </c>
      <c r="E27" s="4">
        <f t="shared" si="0"/>
        <v>51100</v>
      </c>
      <c r="F27" s="5">
        <v>4</v>
      </c>
      <c r="G27" s="4">
        <v>8</v>
      </c>
      <c r="H27" s="3" t="s">
        <v>22</v>
      </c>
      <c r="I27" s="6">
        <f t="shared" si="1"/>
        <v>5.5165585604714242E-4</v>
      </c>
      <c r="J27" s="1"/>
      <c r="K27" s="1"/>
      <c r="L27" s="1"/>
      <c r="M27" s="1"/>
      <c r="N27" s="1"/>
      <c r="O27" s="1"/>
      <c r="P27" s="1"/>
    </row>
    <row r="28" spans="1:16" ht="12" customHeight="1" x14ac:dyDescent="0.45">
      <c r="A28" s="13" t="s">
        <v>83</v>
      </c>
      <c r="B28" s="4">
        <v>1</v>
      </c>
      <c r="C28" s="4">
        <v>40000</v>
      </c>
      <c r="D28" s="4">
        <v>1000</v>
      </c>
      <c r="E28" s="4">
        <f t="shared" si="0"/>
        <v>41000</v>
      </c>
      <c r="F28" s="5">
        <v>4</v>
      </c>
      <c r="G28" s="4">
        <v>5</v>
      </c>
      <c r="H28" s="3" t="s">
        <v>23</v>
      </c>
      <c r="I28" s="6">
        <f t="shared" si="1"/>
        <v>4.4262015847226695E-4</v>
      </c>
      <c r="J28" s="1"/>
      <c r="K28" s="1"/>
      <c r="L28" s="1"/>
      <c r="M28" s="1"/>
      <c r="N28" s="1"/>
      <c r="O28" s="1"/>
      <c r="P28" s="1"/>
    </row>
    <row r="29" spans="1:16" ht="12" customHeight="1" x14ac:dyDescent="0.45">
      <c r="A29" s="13" t="s">
        <v>84</v>
      </c>
      <c r="B29" s="4">
        <v>1</v>
      </c>
      <c r="C29" s="4">
        <v>30000</v>
      </c>
      <c r="D29" s="4">
        <v>800</v>
      </c>
      <c r="E29" s="4">
        <f t="shared" si="0"/>
        <v>30800</v>
      </c>
      <c r="F29" s="5">
        <v>3</v>
      </c>
      <c r="G29" s="4">
        <v>4</v>
      </c>
      <c r="H29" s="3" t="s">
        <v>31</v>
      </c>
      <c r="I29" s="6">
        <f t="shared" si="1"/>
        <v>3.3250489953526394E-4</v>
      </c>
      <c r="J29" s="1"/>
      <c r="K29" s="1"/>
      <c r="L29" s="1"/>
      <c r="M29" s="1"/>
      <c r="N29" s="1"/>
      <c r="O29" s="1"/>
      <c r="P29" s="1"/>
    </row>
    <row r="30" spans="1:16" ht="12" customHeight="1" x14ac:dyDescent="0.45">
      <c r="A30" s="13" t="s">
        <v>85</v>
      </c>
      <c r="B30" s="4">
        <v>1</v>
      </c>
      <c r="C30" s="4">
        <v>25000</v>
      </c>
      <c r="D30" s="4">
        <v>700</v>
      </c>
      <c r="E30" s="4">
        <f t="shared" si="0"/>
        <v>25700</v>
      </c>
      <c r="F30" s="5">
        <v>2</v>
      </c>
      <c r="G30" s="4">
        <v>2</v>
      </c>
      <c r="H30" s="3" t="s">
        <v>20</v>
      </c>
      <c r="I30" s="6">
        <f t="shared" si="1"/>
        <v>2.7744727006676247E-4</v>
      </c>
      <c r="J30" s="1"/>
      <c r="K30" s="1"/>
      <c r="L30" s="1"/>
      <c r="M30" s="1"/>
      <c r="N30" s="1"/>
      <c r="O30" s="1"/>
      <c r="P30" s="1"/>
    </row>
    <row r="31" spans="1:16" ht="12" customHeight="1" x14ac:dyDescent="0.45">
      <c r="A31" s="13" t="s">
        <v>86</v>
      </c>
      <c r="B31" s="4">
        <v>1</v>
      </c>
      <c r="C31" s="4">
        <v>15000</v>
      </c>
      <c r="D31" s="4">
        <v>600</v>
      </c>
      <c r="E31" s="4">
        <f t="shared" si="0"/>
        <v>15600</v>
      </c>
      <c r="F31" s="5">
        <v>2</v>
      </c>
      <c r="G31" s="4">
        <v>1</v>
      </c>
      <c r="H31" s="3" t="s">
        <v>22</v>
      </c>
      <c r="I31" s="6">
        <f t="shared" si="1"/>
        <v>1.6841157249188694E-4</v>
      </c>
      <c r="J31" s="1"/>
      <c r="K31" s="1"/>
      <c r="L31" s="1"/>
      <c r="M31" s="1"/>
      <c r="N31" s="1"/>
      <c r="O31" s="1"/>
      <c r="P31" s="1"/>
    </row>
    <row r="32" spans="1:16" ht="12" customHeight="1" x14ac:dyDescent="0.45">
      <c r="A32" s="13" t="s">
        <v>87</v>
      </c>
      <c r="B32" s="4">
        <v>1</v>
      </c>
      <c r="C32" s="4">
        <v>10000</v>
      </c>
      <c r="D32" s="4">
        <v>500</v>
      </c>
      <c r="E32" s="4">
        <f t="shared" si="0"/>
        <v>10500</v>
      </c>
      <c r="F32" s="5">
        <v>1</v>
      </c>
      <c r="G32" s="4">
        <v>1</v>
      </c>
      <c r="H32" s="3" t="s">
        <v>21</v>
      </c>
      <c r="I32" s="6">
        <f t="shared" si="1"/>
        <v>1.1335394302338544E-4</v>
      </c>
      <c r="J32" s="1"/>
      <c r="K32" s="1"/>
      <c r="L32" s="1"/>
      <c r="M32" s="1"/>
      <c r="N32" s="1"/>
      <c r="O32" s="1"/>
      <c r="P32" s="1"/>
    </row>
    <row r="33" spans="1:16" ht="12" customHeight="1" x14ac:dyDescent="0.45">
      <c r="A33" s="13" t="s">
        <v>88</v>
      </c>
      <c r="B33" s="4">
        <v>1</v>
      </c>
      <c r="C33" s="4">
        <v>7000</v>
      </c>
      <c r="D33" s="4">
        <v>400</v>
      </c>
      <c r="E33" s="4">
        <f t="shared" si="0"/>
        <v>7400</v>
      </c>
      <c r="F33" s="5">
        <v>1</v>
      </c>
      <c r="G33" s="4">
        <v>0</v>
      </c>
      <c r="H33" s="3" t="s">
        <v>23</v>
      </c>
      <c r="I33" s="6">
        <f t="shared" si="1"/>
        <v>7.9887540797433544E-5</v>
      </c>
      <c r="J33" s="1"/>
      <c r="K33" s="1"/>
      <c r="L33" s="1"/>
      <c r="M33" s="1"/>
      <c r="N33" s="1"/>
      <c r="O33" s="1"/>
      <c r="P33" s="1"/>
    </row>
    <row r="34" spans="1:16" ht="12" customHeight="1" x14ac:dyDescent="0.45">
      <c r="A34" s="13" t="s">
        <v>89</v>
      </c>
      <c r="B34" s="4">
        <v>1</v>
      </c>
      <c r="C34" s="4">
        <v>4507</v>
      </c>
      <c r="D34" s="4">
        <v>932</v>
      </c>
      <c r="E34" s="4">
        <f t="shared" si="0"/>
        <v>5439</v>
      </c>
      <c r="F34" s="5">
        <v>1</v>
      </c>
      <c r="G34" s="4">
        <v>0</v>
      </c>
      <c r="H34" s="3" t="s">
        <v>25</v>
      </c>
      <c r="I34" s="6">
        <f t="shared" si="1"/>
        <v>5.8717342486113654E-5</v>
      </c>
      <c r="J34" s="1"/>
      <c r="K34" s="1"/>
      <c r="L34" s="1"/>
      <c r="M34" s="1"/>
      <c r="N34" s="1"/>
      <c r="O34" s="1"/>
      <c r="P34" s="1"/>
    </row>
    <row r="35" spans="1:1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" customHeight="1" x14ac:dyDescent="0.45">
      <c r="A36" s="7" t="s">
        <v>35</v>
      </c>
      <c r="B36" s="8">
        <f>SUM(WorkspacesTable[Requests])</f>
        <v>2386</v>
      </c>
      <c r="C36" s="8">
        <f>SUM(WorkspacesTable[Prompt Tokens])</f>
        <v>90514441</v>
      </c>
      <c r="D36" s="8">
        <f>SUM(WorkspacesTable[Output Tokens])</f>
        <v>2115773</v>
      </c>
      <c r="E36" s="8">
        <f>SUM(WorkspacesTable[Total Tokens])</f>
        <v>92630214</v>
      </c>
      <c r="F36" s="9">
        <f>SUM(WorkspacesTable[Premium Units])</f>
        <v>6352</v>
      </c>
      <c r="G36" s="8">
        <f>SUM(WorkspacesTable[Credits])</f>
        <v>40470</v>
      </c>
      <c r="H36" s="7"/>
      <c r="I36" s="10">
        <f>SUM(WorkspacesTable[Token Share])</f>
        <v>1.0000000000000002</v>
      </c>
      <c r="J36" s="1"/>
      <c r="K36" s="1"/>
      <c r="L36" s="1"/>
      <c r="M36" s="1"/>
      <c r="N36" s="1"/>
      <c r="O36" s="1"/>
      <c r="P36" s="1"/>
    </row>
    <row r="37" spans="1:1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mergeCells count="2">
    <mergeCell ref="A1:I1"/>
    <mergeCell ref="A2:I2"/>
  </mergeCells>
  <phoneticPr fontId="14" type="noConversion"/>
  <conditionalFormatting sqref="I5:I34">
    <cfRule type="dataBar" priority="1">
      <dataBar>
        <cfvo type="min"/>
        <cfvo type="max"/>
        <color rgb="FF69B96E"/>
      </dataBar>
    </cfRule>
    <cfRule type="dataBar" priority="2">
      <dataBar>
        <cfvo type="min"/>
        <cfvo type="max"/>
        <color rgb="FF69B96E"/>
      </dataBar>
      <extLst>
        <ext xmlns:x14="http://schemas.microsoft.com/office/spreadsheetml/2009/9/main" uri="{B025F937-C7B1-47D3-B67F-A62EFF666E3E}">
          <x14:id>{361959A1-62B2-38DD-1606-C050B03B30B4}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1959A1-62B2-38DD-1606-C050B03B30B4}">
            <x14:dataBar>
              <x14:cfvo type="min"/>
              <x14:cfvo type="max"/>
              <x14:negativeFillColor auto="1"/>
              <x14:axisColor auto="1"/>
            </x14:dataBar>
          </x14:cfRule>
          <xm:sqref>I5:I34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0"/>
  <sheetViews>
    <sheetView workbookViewId="0">
      <selection activeCell="K10" sqref="K10"/>
    </sheetView>
  </sheetViews>
  <sheetFormatPr defaultRowHeight="14.25" x14ac:dyDescent="0.45"/>
  <cols>
    <col min="1" max="1" width="14" customWidth="1"/>
    <col min="2" max="2" width="12" customWidth="1"/>
    <col min="3" max="3" width="18" customWidth="1"/>
    <col min="4" max="4" width="17" customWidth="1"/>
    <col min="5" max="5" width="14" customWidth="1"/>
    <col min="6" max="6" width="15" customWidth="1"/>
    <col min="7" max="7" width="13" customWidth="1"/>
    <col min="8" max="8" width="11" customWidth="1"/>
    <col min="10" max="10" width="11.796875" bestFit="1" customWidth="1"/>
    <col min="11" max="11" width="14.33203125" bestFit="1" customWidth="1"/>
    <col min="12" max="12" width="13.9296875" bestFit="1" customWidth="1"/>
    <col min="13" max="13" width="8.06640625" bestFit="1" customWidth="1"/>
    <col min="14" max="14" width="10.73046875" bestFit="1" customWidth="1"/>
  </cols>
  <sheetData>
    <row r="1" spans="1:16" ht="17" customHeight="1" x14ac:dyDescent="0.45">
      <c r="A1" s="26" t="s">
        <v>90</v>
      </c>
      <c r="B1" s="26"/>
      <c r="C1" s="26"/>
      <c r="D1" s="26"/>
      <c r="E1" s="26"/>
      <c r="F1" s="26"/>
      <c r="G1" s="26"/>
      <c r="H1" s="26"/>
      <c r="I1" s="1"/>
      <c r="J1" s="1"/>
      <c r="K1" s="1"/>
      <c r="L1" s="1"/>
      <c r="M1" s="1"/>
      <c r="N1" s="1"/>
      <c r="O1" s="1"/>
      <c r="P1" s="1"/>
    </row>
    <row r="2" spans="1:16" ht="11" customHeight="1" x14ac:dyDescent="0.45">
      <c r="A2" s="27" t="s">
        <v>91</v>
      </c>
      <c r="B2" s="27"/>
      <c r="C2" s="27"/>
      <c r="D2" s="27"/>
      <c r="E2" s="27"/>
      <c r="F2" s="27"/>
      <c r="G2" s="27"/>
      <c r="H2" s="27"/>
      <c r="I2" s="1"/>
      <c r="J2" s="1"/>
      <c r="K2" s="1"/>
      <c r="L2" s="1"/>
      <c r="M2" s="1"/>
      <c r="N2" s="1"/>
      <c r="O2" s="1"/>
      <c r="P2" s="1"/>
    </row>
    <row r="3" spans="1:16" x14ac:dyDescent="0.45">
      <c r="A3" s="1"/>
      <c r="B3" s="1"/>
      <c r="C3" s="1"/>
      <c r="D3" s="1"/>
      <c r="E3" s="1"/>
      <c r="F3" s="1"/>
      <c r="G3" s="1"/>
      <c r="H3" s="1"/>
      <c r="I3" s="30" t="s">
        <v>147</v>
      </c>
      <c r="J3" s="30"/>
      <c r="K3" s="30"/>
      <c r="L3" s="30"/>
      <c r="M3" s="30"/>
      <c r="N3" s="30"/>
      <c r="O3" s="1"/>
      <c r="P3" s="1"/>
    </row>
    <row r="4" spans="1:16" ht="13.05" customHeight="1" x14ac:dyDescent="0.45">
      <c r="A4" s="2" t="s">
        <v>92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9</v>
      </c>
      <c r="I4" s="31" t="s">
        <v>148</v>
      </c>
      <c r="J4" s="31" t="s">
        <v>149</v>
      </c>
      <c r="K4" s="31" t="s">
        <v>150</v>
      </c>
      <c r="L4" s="31" t="s">
        <v>151</v>
      </c>
      <c r="M4" s="31" t="s">
        <v>152</v>
      </c>
      <c r="N4" s="31" t="s">
        <v>153</v>
      </c>
      <c r="O4" s="1"/>
      <c r="P4" s="1"/>
    </row>
    <row r="5" spans="1:16" ht="12" customHeight="1" x14ac:dyDescent="0.45">
      <c r="A5" s="14">
        <v>45774</v>
      </c>
      <c r="B5" s="4">
        <v>16</v>
      </c>
      <c r="C5" s="4">
        <v>601942</v>
      </c>
      <c r="D5" s="4">
        <v>16392</v>
      </c>
      <c r="E5" s="4">
        <v>111</v>
      </c>
      <c r="F5" s="4">
        <v>39</v>
      </c>
      <c r="G5" s="4">
        <v>219</v>
      </c>
      <c r="H5" s="4">
        <v>2</v>
      </c>
      <c r="I5" s="35">
        <v>36</v>
      </c>
      <c r="J5" s="35">
        <v>2946701</v>
      </c>
      <c r="K5" s="35">
        <v>19468</v>
      </c>
      <c r="L5" s="35">
        <v>2805760</v>
      </c>
      <c r="M5" s="35">
        <v>101.02</v>
      </c>
      <c r="N5" s="35">
        <v>100</v>
      </c>
      <c r="O5" s="1"/>
      <c r="P5" s="1"/>
    </row>
    <row r="6" spans="1:16" ht="12" customHeight="1" x14ac:dyDescent="0.45">
      <c r="A6" s="14">
        <v>45786</v>
      </c>
      <c r="B6" s="4">
        <v>65</v>
      </c>
      <c r="C6" s="4">
        <v>2470622</v>
      </c>
      <c r="D6" s="4">
        <v>66227</v>
      </c>
      <c r="E6" s="4">
        <v>496</v>
      </c>
      <c r="F6" s="4">
        <v>191</v>
      </c>
      <c r="G6" s="4">
        <v>826</v>
      </c>
      <c r="H6" s="4">
        <v>5</v>
      </c>
      <c r="I6" s="35">
        <v>303</v>
      </c>
      <c r="J6" s="35">
        <v>40977419</v>
      </c>
      <c r="K6" s="35">
        <v>352863</v>
      </c>
      <c r="L6" s="35">
        <v>35956814</v>
      </c>
      <c r="M6" s="35">
        <v>5770.02</v>
      </c>
      <c r="N6" s="35">
        <v>99.3</v>
      </c>
      <c r="O6" s="1"/>
      <c r="P6" s="1"/>
    </row>
    <row r="7" spans="1:16" ht="12" customHeight="1" x14ac:dyDescent="0.45">
      <c r="A7" s="14">
        <v>45797</v>
      </c>
      <c r="B7" s="4">
        <v>25</v>
      </c>
      <c r="C7" s="4">
        <v>956103</v>
      </c>
      <c r="D7" s="4">
        <v>20093</v>
      </c>
      <c r="E7" s="4">
        <v>210</v>
      </c>
      <c r="F7" s="4">
        <v>64</v>
      </c>
      <c r="G7" s="4">
        <v>513</v>
      </c>
      <c r="H7" s="4">
        <v>3</v>
      </c>
      <c r="I7" s="35">
        <v>117</v>
      </c>
      <c r="J7" s="35">
        <v>12496308</v>
      </c>
      <c r="K7" s="35">
        <v>127902</v>
      </c>
      <c r="L7" s="35">
        <v>12234029</v>
      </c>
      <c r="M7" s="35">
        <v>1095.3499999999999</v>
      </c>
      <c r="N7" s="35">
        <v>99.2</v>
      </c>
      <c r="O7" s="1"/>
      <c r="P7" s="1"/>
    </row>
    <row r="8" spans="1:16" ht="12" customHeight="1" x14ac:dyDescent="0.45">
      <c r="A8" s="14">
        <v>45809</v>
      </c>
      <c r="B8" s="4">
        <v>13</v>
      </c>
      <c r="C8" s="4">
        <v>485384</v>
      </c>
      <c r="D8" s="4">
        <v>11873</v>
      </c>
      <c r="E8" s="4">
        <v>127</v>
      </c>
      <c r="F8" s="4">
        <v>25</v>
      </c>
      <c r="G8" s="4">
        <v>178</v>
      </c>
      <c r="H8" s="4">
        <v>2</v>
      </c>
      <c r="I8" s="35">
        <v>373</v>
      </c>
      <c r="J8" s="35">
        <v>46765642</v>
      </c>
      <c r="K8" s="35">
        <v>330223</v>
      </c>
      <c r="L8" s="35">
        <v>43387168</v>
      </c>
      <c r="M8" s="35">
        <v>2497.9899999999998</v>
      </c>
      <c r="N8" s="35">
        <v>98.9</v>
      </c>
      <c r="O8" s="1"/>
      <c r="P8" s="1"/>
    </row>
    <row r="9" spans="1:16" ht="12" customHeight="1" x14ac:dyDescent="0.45">
      <c r="A9" s="14">
        <v>45821</v>
      </c>
      <c r="B9" s="4">
        <v>2</v>
      </c>
      <c r="C9" s="4">
        <v>93529</v>
      </c>
      <c r="D9" s="4">
        <v>2260</v>
      </c>
      <c r="E9" s="4">
        <v>19</v>
      </c>
      <c r="F9" s="4">
        <v>8</v>
      </c>
      <c r="G9" s="4">
        <v>43</v>
      </c>
      <c r="H9" s="4">
        <v>1</v>
      </c>
      <c r="I9" s="35"/>
      <c r="J9" s="35"/>
      <c r="K9" s="35"/>
      <c r="L9" s="35"/>
      <c r="M9" s="35"/>
      <c r="N9" s="35"/>
      <c r="O9" s="1"/>
      <c r="P9" s="1"/>
    </row>
    <row r="10" spans="1:16" ht="12" customHeight="1" x14ac:dyDescent="0.45">
      <c r="A10" s="14">
        <v>45832</v>
      </c>
      <c r="B10" s="4">
        <v>49</v>
      </c>
      <c r="C10" s="4">
        <v>1849913</v>
      </c>
      <c r="D10" s="4">
        <v>36150</v>
      </c>
      <c r="E10" s="4">
        <v>370</v>
      </c>
      <c r="F10" s="4">
        <v>141</v>
      </c>
      <c r="G10" s="4">
        <v>861</v>
      </c>
      <c r="H10" s="4">
        <v>4</v>
      </c>
      <c r="I10" s="35"/>
      <c r="J10" s="35"/>
      <c r="K10" s="35"/>
      <c r="L10" s="35"/>
      <c r="M10" s="35"/>
      <c r="N10" s="35"/>
      <c r="O10" s="1"/>
      <c r="P10" s="1"/>
    </row>
    <row r="11" spans="1:16" ht="12" customHeight="1" x14ac:dyDescent="0.45">
      <c r="A11" s="14">
        <v>45844</v>
      </c>
      <c r="B11" s="4">
        <v>13</v>
      </c>
      <c r="C11" s="4">
        <v>489008</v>
      </c>
      <c r="D11" s="4">
        <v>12574</v>
      </c>
      <c r="E11" s="4">
        <v>86</v>
      </c>
      <c r="F11" s="4">
        <v>39</v>
      </c>
      <c r="G11" s="4">
        <v>202</v>
      </c>
      <c r="H11" s="4">
        <v>2</v>
      </c>
      <c r="I11" s="35"/>
      <c r="J11" s="35"/>
      <c r="K11" s="35"/>
      <c r="L11" s="35"/>
      <c r="M11" s="35"/>
      <c r="N11" s="35"/>
      <c r="O11" s="1"/>
      <c r="P11" s="1"/>
    </row>
    <row r="12" spans="1:16" ht="12" customHeight="1" x14ac:dyDescent="0.45">
      <c r="A12" s="14">
        <v>45856</v>
      </c>
      <c r="B12" s="4">
        <v>86</v>
      </c>
      <c r="C12" s="4">
        <v>3267527</v>
      </c>
      <c r="D12" s="4">
        <v>76637</v>
      </c>
      <c r="E12" s="4">
        <v>874</v>
      </c>
      <c r="F12" s="4">
        <v>259</v>
      </c>
      <c r="G12" s="4">
        <v>1490</v>
      </c>
      <c r="H12" s="4">
        <v>6</v>
      </c>
      <c r="I12" s="35"/>
      <c r="J12" s="35"/>
      <c r="K12" s="35"/>
      <c r="L12" s="35"/>
      <c r="M12" s="35"/>
      <c r="N12" s="35"/>
      <c r="O12" s="1"/>
      <c r="P12" s="1"/>
    </row>
    <row r="13" spans="1:16" ht="12" customHeight="1" x14ac:dyDescent="0.45">
      <c r="A13" s="14">
        <v>45867</v>
      </c>
      <c r="B13" s="4">
        <v>20</v>
      </c>
      <c r="C13" s="4">
        <v>747920</v>
      </c>
      <c r="D13" s="4">
        <v>19353</v>
      </c>
      <c r="E13" s="4">
        <v>151</v>
      </c>
      <c r="F13" s="4">
        <v>57</v>
      </c>
      <c r="G13" s="4">
        <v>329</v>
      </c>
      <c r="H13" s="4">
        <v>3</v>
      </c>
      <c r="I13" s="35"/>
      <c r="J13" s="35"/>
      <c r="K13" s="35"/>
      <c r="L13" s="35"/>
      <c r="M13" s="35"/>
      <c r="N13" s="35"/>
      <c r="O13" s="1"/>
      <c r="P13" s="1"/>
    </row>
    <row r="14" spans="1:16" ht="12" customHeight="1" x14ac:dyDescent="0.45">
      <c r="A14" s="14">
        <v>45879</v>
      </c>
      <c r="B14" s="4">
        <v>87</v>
      </c>
      <c r="C14" s="4">
        <v>3286963</v>
      </c>
      <c r="D14" s="4">
        <v>76793</v>
      </c>
      <c r="E14" s="4">
        <v>1028</v>
      </c>
      <c r="F14" s="4">
        <v>182</v>
      </c>
      <c r="G14" s="4">
        <v>1801</v>
      </c>
      <c r="H14" s="4">
        <v>6</v>
      </c>
      <c r="I14" s="35"/>
      <c r="J14" s="35"/>
      <c r="K14" s="35"/>
      <c r="L14" s="35"/>
      <c r="M14" s="35"/>
      <c r="N14" s="35"/>
      <c r="O14" s="1"/>
      <c r="P14" s="1"/>
    </row>
    <row r="15" spans="1:16" ht="12" customHeight="1" x14ac:dyDescent="0.45">
      <c r="A15" s="14">
        <v>45891</v>
      </c>
      <c r="B15" s="4">
        <v>35</v>
      </c>
      <c r="C15" s="4">
        <v>1323685</v>
      </c>
      <c r="D15" s="4">
        <v>23827</v>
      </c>
      <c r="E15" s="4">
        <v>404</v>
      </c>
      <c r="F15" s="4">
        <v>87</v>
      </c>
      <c r="G15" s="4">
        <v>472</v>
      </c>
      <c r="H15" s="4">
        <v>4</v>
      </c>
      <c r="I15" s="35"/>
      <c r="J15" s="35"/>
      <c r="K15" s="35"/>
      <c r="L15" s="35"/>
      <c r="M15" s="35"/>
      <c r="N15" s="35"/>
      <c r="O15" s="1"/>
      <c r="P15" s="1"/>
    </row>
    <row r="16" spans="1:16" ht="12" customHeight="1" x14ac:dyDescent="0.45">
      <c r="A16" s="14">
        <v>45902</v>
      </c>
      <c r="B16" s="4">
        <v>22</v>
      </c>
      <c r="C16" s="4">
        <v>841311</v>
      </c>
      <c r="D16" s="4">
        <v>17900</v>
      </c>
      <c r="E16" s="4">
        <v>148</v>
      </c>
      <c r="F16" s="4">
        <v>48</v>
      </c>
      <c r="G16" s="4">
        <v>413</v>
      </c>
      <c r="H16" s="4">
        <v>3</v>
      </c>
      <c r="I16" s="35"/>
      <c r="J16" s="35"/>
      <c r="K16" s="35"/>
      <c r="L16" s="35"/>
      <c r="M16" s="35"/>
      <c r="N16" s="35"/>
      <c r="O16" s="1"/>
      <c r="P16" s="1"/>
    </row>
    <row r="17" spans="1:16" ht="12" customHeight="1" x14ac:dyDescent="0.45">
      <c r="A17" s="14">
        <v>45914</v>
      </c>
      <c r="B17" s="4">
        <v>96</v>
      </c>
      <c r="C17" s="4">
        <v>3654646</v>
      </c>
      <c r="D17" s="4">
        <v>66485</v>
      </c>
      <c r="E17" s="4">
        <v>742</v>
      </c>
      <c r="F17" s="4">
        <v>229</v>
      </c>
      <c r="G17" s="4">
        <v>1335</v>
      </c>
      <c r="H17" s="4">
        <v>6</v>
      </c>
      <c r="I17" s="35"/>
      <c r="J17" s="35"/>
      <c r="K17" s="35"/>
      <c r="L17" s="35"/>
      <c r="M17" s="35"/>
      <c r="N17" s="35"/>
      <c r="O17" s="1"/>
      <c r="P17" s="1"/>
    </row>
    <row r="18" spans="1:16" ht="12" customHeight="1" x14ac:dyDescent="0.45">
      <c r="A18" s="14">
        <v>45926</v>
      </c>
      <c r="B18" s="4">
        <v>13</v>
      </c>
      <c r="C18" s="4">
        <v>504064</v>
      </c>
      <c r="D18" s="4">
        <v>13811</v>
      </c>
      <c r="E18" s="4">
        <v>138</v>
      </c>
      <c r="F18" s="4">
        <v>26</v>
      </c>
      <c r="G18" s="4">
        <v>205</v>
      </c>
      <c r="H18" s="4">
        <v>2</v>
      </c>
      <c r="I18" s="35"/>
      <c r="J18" s="35"/>
      <c r="K18" s="35"/>
      <c r="L18" s="35"/>
      <c r="M18" s="35"/>
      <c r="N18" s="35"/>
      <c r="O18" s="1"/>
      <c r="P18" s="1"/>
    </row>
    <row r="19" spans="1:16" ht="12" customHeight="1" x14ac:dyDescent="0.45">
      <c r="A19" s="14">
        <v>45937</v>
      </c>
      <c r="B19" s="4">
        <v>6</v>
      </c>
      <c r="C19" s="4">
        <v>211987</v>
      </c>
      <c r="D19" s="4">
        <v>5700</v>
      </c>
      <c r="E19" s="4">
        <v>42</v>
      </c>
      <c r="F19" s="4">
        <v>13</v>
      </c>
      <c r="G19" s="4">
        <v>102</v>
      </c>
      <c r="H19" s="4">
        <v>1</v>
      </c>
      <c r="I19" s="35"/>
      <c r="J19" s="35"/>
      <c r="K19" s="35"/>
      <c r="L19" s="35"/>
      <c r="M19" s="35"/>
      <c r="N19" s="35"/>
      <c r="O19" s="1"/>
      <c r="P19" s="1"/>
    </row>
    <row r="20" spans="1:16" ht="12" customHeight="1" x14ac:dyDescent="0.45">
      <c r="A20" s="14">
        <v>45949</v>
      </c>
      <c r="B20" s="4">
        <v>37</v>
      </c>
      <c r="C20" s="4">
        <v>1400291</v>
      </c>
      <c r="D20" s="4">
        <v>36986</v>
      </c>
      <c r="E20" s="4">
        <v>260</v>
      </c>
      <c r="F20" s="4">
        <v>114</v>
      </c>
      <c r="G20" s="4">
        <v>534</v>
      </c>
      <c r="H20" s="4">
        <v>4</v>
      </c>
      <c r="I20" s="35"/>
      <c r="J20" s="35"/>
      <c r="K20" s="35"/>
      <c r="L20" s="35"/>
      <c r="M20" s="35"/>
      <c r="N20" s="35"/>
      <c r="O20" s="1"/>
      <c r="P20" s="1"/>
    </row>
    <row r="21" spans="1:16" ht="12" customHeight="1" x14ac:dyDescent="0.45">
      <c r="A21" s="14">
        <v>45961</v>
      </c>
      <c r="B21" s="4">
        <v>47</v>
      </c>
      <c r="C21" s="4">
        <v>1770752</v>
      </c>
      <c r="D21" s="4">
        <v>37376</v>
      </c>
      <c r="E21" s="4">
        <v>562</v>
      </c>
      <c r="F21" s="4">
        <v>104</v>
      </c>
      <c r="G21" s="4">
        <v>683</v>
      </c>
      <c r="H21" s="4">
        <v>4</v>
      </c>
      <c r="I21" s="35"/>
      <c r="J21" s="35"/>
      <c r="K21" s="35"/>
      <c r="L21" s="35"/>
      <c r="M21" s="35"/>
      <c r="N21" s="35"/>
      <c r="O21" s="1"/>
      <c r="P21" s="1"/>
    </row>
    <row r="22" spans="1:16" ht="12" customHeight="1" x14ac:dyDescent="0.45">
      <c r="A22" s="14">
        <v>45972</v>
      </c>
      <c r="B22" s="4">
        <v>58</v>
      </c>
      <c r="C22" s="4">
        <v>2214967</v>
      </c>
      <c r="D22" s="4">
        <v>41156</v>
      </c>
      <c r="E22" s="4">
        <v>571</v>
      </c>
      <c r="F22" s="4">
        <v>166</v>
      </c>
      <c r="G22" s="4">
        <v>1108</v>
      </c>
      <c r="H22" s="4">
        <v>5</v>
      </c>
      <c r="I22" s="35"/>
      <c r="J22" s="35"/>
      <c r="K22" s="35"/>
      <c r="L22" s="35"/>
      <c r="M22" s="35"/>
      <c r="N22" s="35"/>
      <c r="O22" s="1"/>
      <c r="P22" s="1"/>
    </row>
    <row r="23" spans="1:16" ht="12" customHeight="1" x14ac:dyDescent="0.45">
      <c r="A23" s="14">
        <v>45984</v>
      </c>
      <c r="B23" s="4">
        <v>15</v>
      </c>
      <c r="C23" s="4">
        <v>584842</v>
      </c>
      <c r="D23" s="4">
        <v>15722</v>
      </c>
      <c r="E23" s="4">
        <v>141</v>
      </c>
      <c r="F23" s="4">
        <v>38</v>
      </c>
      <c r="G23" s="4">
        <v>188</v>
      </c>
      <c r="H23" s="4">
        <v>2</v>
      </c>
      <c r="I23" s="35"/>
      <c r="J23" s="35"/>
      <c r="K23" s="35"/>
      <c r="L23" s="35"/>
      <c r="M23" s="35"/>
      <c r="N23" s="35"/>
      <c r="O23" s="1"/>
      <c r="P23" s="1"/>
    </row>
    <row r="24" spans="1:16" ht="12" customHeight="1" x14ac:dyDescent="0.45">
      <c r="A24" s="14">
        <v>45996</v>
      </c>
      <c r="B24" s="4">
        <v>48</v>
      </c>
      <c r="C24" s="4">
        <v>1839326</v>
      </c>
      <c r="D24" s="4">
        <v>50728</v>
      </c>
      <c r="E24" s="4">
        <v>539</v>
      </c>
      <c r="F24" s="4">
        <v>117</v>
      </c>
      <c r="G24" s="4">
        <v>778</v>
      </c>
      <c r="H24" s="4">
        <v>4</v>
      </c>
      <c r="I24" s="35"/>
      <c r="J24" s="35"/>
      <c r="K24" s="35"/>
      <c r="L24" s="35"/>
      <c r="M24" s="35"/>
      <c r="N24" s="35"/>
      <c r="O24" s="1"/>
      <c r="P24" s="1"/>
    </row>
    <row r="25" spans="1:16" ht="12" customHeight="1" x14ac:dyDescent="0.45">
      <c r="A25" s="14">
        <v>46007</v>
      </c>
      <c r="B25" s="4">
        <v>10</v>
      </c>
      <c r="C25" s="4">
        <v>391509</v>
      </c>
      <c r="D25" s="4">
        <v>7385</v>
      </c>
      <c r="E25" s="4">
        <v>116</v>
      </c>
      <c r="F25" s="4">
        <v>31</v>
      </c>
      <c r="G25" s="4">
        <v>221</v>
      </c>
      <c r="H25" s="4">
        <v>2</v>
      </c>
      <c r="I25" s="35"/>
      <c r="J25" s="35"/>
      <c r="K25" s="35"/>
      <c r="L25" s="35"/>
      <c r="M25" s="35"/>
      <c r="N25" s="35"/>
      <c r="O25" s="1"/>
      <c r="P25" s="1"/>
    </row>
    <row r="26" spans="1:16" ht="12" customHeight="1" x14ac:dyDescent="0.45">
      <c r="A26" s="14">
        <v>46019</v>
      </c>
      <c r="B26" s="4">
        <v>55</v>
      </c>
      <c r="C26" s="4">
        <v>2070363</v>
      </c>
      <c r="D26" s="4">
        <v>47440</v>
      </c>
      <c r="E26" s="4">
        <v>404</v>
      </c>
      <c r="F26" s="4">
        <v>169</v>
      </c>
      <c r="G26" s="4">
        <v>1168</v>
      </c>
      <c r="H26" s="4">
        <v>4</v>
      </c>
      <c r="I26" s="35"/>
      <c r="J26" s="35"/>
      <c r="K26" s="35"/>
      <c r="L26" s="35"/>
      <c r="M26" s="35"/>
      <c r="N26" s="35"/>
      <c r="O26" s="1"/>
      <c r="P26" s="1"/>
    </row>
    <row r="27" spans="1:16" ht="12" customHeight="1" x14ac:dyDescent="0.45">
      <c r="A27" s="14">
        <v>46031</v>
      </c>
      <c r="B27" s="4">
        <v>37</v>
      </c>
      <c r="C27" s="4">
        <v>1404317</v>
      </c>
      <c r="D27" s="4">
        <v>26254</v>
      </c>
      <c r="E27" s="4">
        <v>253</v>
      </c>
      <c r="F27" s="4">
        <v>95</v>
      </c>
      <c r="G27" s="4">
        <v>452</v>
      </c>
      <c r="H27" s="4">
        <v>4</v>
      </c>
      <c r="I27" s="35"/>
      <c r="J27" s="35"/>
      <c r="K27" s="35"/>
      <c r="L27" s="35"/>
      <c r="M27" s="35"/>
      <c r="N27" s="35"/>
      <c r="O27" s="1"/>
      <c r="P27" s="1"/>
    </row>
    <row r="28" spans="1:16" ht="12" customHeight="1" x14ac:dyDescent="0.45">
      <c r="A28" s="14">
        <v>46042</v>
      </c>
      <c r="B28" s="4">
        <v>279</v>
      </c>
      <c r="C28" s="4">
        <v>10576993</v>
      </c>
      <c r="D28" s="4">
        <v>271759</v>
      </c>
      <c r="E28" s="4">
        <v>2483</v>
      </c>
      <c r="F28" s="4">
        <v>769</v>
      </c>
      <c r="G28" s="4">
        <v>3794</v>
      </c>
      <c r="H28" s="4">
        <v>10</v>
      </c>
      <c r="I28" s="35"/>
      <c r="J28" s="35"/>
      <c r="K28" s="35"/>
      <c r="L28" s="35"/>
      <c r="M28" s="35"/>
      <c r="N28" s="35"/>
      <c r="O28" s="1"/>
      <c r="P28" s="1"/>
    </row>
    <row r="29" spans="1:16" ht="12" customHeight="1" x14ac:dyDescent="0.45">
      <c r="A29" s="14">
        <v>46054</v>
      </c>
      <c r="B29" s="4">
        <v>18</v>
      </c>
      <c r="C29" s="4">
        <v>690694</v>
      </c>
      <c r="D29" s="4">
        <v>17783</v>
      </c>
      <c r="E29" s="4">
        <v>161</v>
      </c>
      <c r="F29" s="4">
        <v>38</v>
      </c>
      <c r="G29" s="4">
        <v>257</v>
      </c>
      <c r="H29" s="4">
        <v>3</v>
      </c>
      <c r="I29" s="35"/>
      <c r="J29" s="35"/>
      <c r="K29" s="35"/>
      <c r="L29" s="35"/>
      <c r="M29" s="35"/>
      <c r="N29" s="35"/>
      <c r="O29" s="1"/>
      <c r="P29" s="1"/>
    </row>
    <row r="30" spans="1:16" ht="12" customHeight="1" x14ac:dyDescent="0.45">
      <c r="A30" s="14">
        <v>46066</v>
      </c>
      <c r="B30" s="4">
        <v>12</v>
      </c>
      <c r="C30" s="4">
        <v>470052</v>
      </c>
      <c r="D30" s="4">
        <v>9069</v>
      </c>
      <c r="E30" s="4">
        <v>113</v>
      </c>
      <c r="F30" s="4">
        <v>28</v>
      </c>
      <c r="G30" s="4">
        <v>257</v>
      </c>
      <c r="H30" s="4">
        <v>2</v>
      </c>
      <c r="I30" s="35"/>
      <c r="J30" s="35"/>
      <c r="K30" s="35"/>
      <c r="L30" s="35"/>
      <c r="M30" s="35"/>
      <c r="N30" s="35"/>
      <c r="O30" s="1"/>
      <c r="P30" s="1"/>
    </row>
    <row r="31" spans="1:16" ht="12" customHeight="1" x14ac:dyDescent="0.45">
      <c r="A31" s="14">
        <v>46077</v>
      </c>
      <c r="B31" s="4">
        <v>273</v>
      </c>
      <c r="C31" s="4">
        <v>10352331</v>
      </c>
      <c r="D31" s="4">
        <v>236089</v>
      </c>
      <c r="E31" s="4">
        <v>2937</v>
      </c>
      <c r="F31" s="4">
        <v>834</v>
      </c>
      <c r="G31" s="4">
        <v>5527</v>
      </c>
      <c r="H31" s="4">
        <v>10</v>
      </c>
      <c r="I31" s="35"/>
      <c r="J31" s="35"/>
      <c r="K31" s="35"/>
      <c r="L31" s="35"/>
      <c r="M31" s="35"/>
      <c r="N31" s="35"/>
      <c r="O31" s="1"/>
      <c r="P31" s="1"/>
    </row>
    <row r="32" spans="1:16" ht="12" customHeight="1" x14ac:dyDescent="0.45">
      <c r="A32" s="14">
        <v>46089</v>
      </c>
      <c r="B32" s="4">
        <v>15</v>
      </c>
      <c r="C32" s="4">
        <v>580415</v>
      </c>
      <c r="D32" s="4">
        <v>13674</v>
      </c>
      <c r="E32" s="4">
        <v>159</v>
      </c>
      <c r="F32" s="4">
        <v>40</v>
      </c>
      <c r="G32" s="4">
        <v>310</v>
      </c>
      <c r="H32" s="4">
        <v>2</v>
      </c>
      <c r="I32" s="35"/>
      <c r="J32" s="35"/>
      <c r="K32" s="35"/>
      <c r="L32" s="35"/>
      <c r="M32" s="35"/>
      <c r="N32" s="35"/>
      <c r="O32" s="1"/>
      <c r="P32" s="1"/>
    </row>
    <row r="33" spans="1:16" ht="12" customHeight="1" x14ac:dyDescent="0.45">
      <c r="A33" s="14">
        <v>46101</v>
      </c>
      <c r="B33" s="4">
        <v>38</v>
      </c>
      <c r="C33" s="4">
        <v>1422230</v>
      </c>
      <c r="D33" s="4">
        <v>29408</v>
      </c>
      <c r="E33" s="4">
        <v>463</v>
      </c>
      <c r="F33" s="4">
        <v>96</v>
      </c>
      <c r="G33" s="4">
        <v>568</v>
      </c>
      <c r="H33" s="4">
        <v>4</v>
      </c>
      <c r="I33" s="35"/>
      <c r="J33" s="35"/>
      <c r="K33" s="35"/>
      <c r="L33" s="35"/>
      <c r="M33" s="35"/>
      <c r="N33" s="35"/>
      <c r="O33" s="1"/>
      <c r="P33" s="1"/>
    </row>
    <row r="34" spans="1:16" ht="12" customHeight="1" x14ac:dyDescent="0.45">
      <c r="A34" s="14">
        <v>46112</v>
      </c>
      <c r="B34" s="4">
        <v>108</v>
      </c>
      <c r="C34" s="4">
        <v>4106579</v>
      </c>
      <c r="D34" s="4">
        <v>110161</v>
      </c>
      <c r="E34" s="4">
        <v>740</v>
      </c>
      <c r="F34" s="4">
        <v>302</v>
      </c>
      <c r="G34" s="4">
        <v>1413</v>
      </c>
      <c r="H34" s="4">
        <v>6</v>
      </c>
      <c r="I34" s="35"/>
      <c r="J34" s="35"/>
      <c r="K34" s="35"/>
      <c r="L34" s="35"/>
      <c r="M34" s="35"/>
      <c r="N34" s="35"/>
      <c r="O34" s="1"/>
      <c r="P34" s="1"/>
    </row>
    <row r="35" spans="1:16" ht="12" customHeight="1" x14ac:dyDescent="0.45">
      <c r="A35" s="14">
        <v>46124</v>
      </c>
      <c r="B35" s="4">
        <v>24</v>
      </c>
      <c r="C35" s="4">
        <v>895205</v>
      </c>
      <c r="D35" s="4">
        <v>19943</v>
      </c>
      <c r="E35" s="4">
        <v>206</v>
      </c>
      <c r="F35" s="4">
        <v>47</v>
      </c>
      <c r="G35" s="4">
        <v>467</v>
      </c>
      <c r="H35" s="4">
        <v>3</v>
      </c>
      <c r="I35" s="35"/>
      <c r="J35" s="35"/>
      <c r="K35" s="35"/>
      <c r="L35" s="35"/>
      <c r="M35" s="35"/>
      <c r="N35" s="35"/>
      <c r="O35" s="1"/>
      <c r="P35" s="1"/>
    </row>
    <row r="36" spans="1:16" ht="12" customHeight="1" x14ac:dyDescent="0.45">
      <c r="A36" s="14">
        <v>46136</v>
      </c>
      <c r="B36" s="4">
        <v>7</v>
      </c>
      <c r="C36" s="4">
        <v>271676</v>
      </c>
      <c r="D36" s="4">
        <v>5471</v>
      </c>
      <c r="E36" s="4">
        <v>60</v>
      </c>
      <c r="F36" s="4">
        <v>19</v>
      </c>
      <c r="G36" s="4">
        <v>132</v>
      </c>
      <c r="H36" s="4">
        <v>2</v>
      </c>
      <c r="I36" s="35"/>
      <c r="J36" s="35"/>
      <c r="K36" s="35"/>
      <c r="L36" s="35"/>
      <c r="M36" s="35"/>
      <c r="N36" s="35"/>
      <c r="O36" s="1"/>
      <c r="P36" s="1"/>
    </row>
    <row r="37" spans="1:16" ht="12" customHeight="1" x14ac:dyDescent="0.45">
      <c r="A37" s="14">
        <v>46147</v>
      </c>
      <c r="B37" s="4">
        <v>446</v>
      </c>
      <c r="C37" s="4">
        <v>16916305</v>
      </c>
      <c r="D37" s="4">
        <v>396744</v>
      </c>
      <c r="E37" s="4">
        <v>5166</v>
      </c>
      <c r="F37" s="4">
        <v>1116</v>
      </c>
      <c r="G37" s="4">
        <v>7836</v>
      </c>
      <c r="H37" s="4">
        <v>13</v>
      </c>
      <c r="I37" s="35"/>
      <c r="J37" s="35"/>
      <c r="K37" s="35"/>
      <c r="L37" s="35"/>
      <c r="M37" s="35"/>
      <c r="N37" s="35"/>
      <c r="O37" s="1"/>
      <c r="P37" s="1"/>
    </row>
    <row r="38" spans="1:16" ht="12" customHeight="1" x14ac:dyDescent="0.45">
      <c r="A38" s="14">
        <v>46159</v>
      </c>
      <c r="B38" s="4">
        <v>5</v>
      </c>
      <c r="C38" s="4">
        <v>178208</v>
      </c>
      <c r="D38" s="4">
        <v>4523</v>
      </c>
      <c r="E38" s="4">
        <v>37</v>
      </c>
      <c r="F38" s="4">
        <v>14</v>
      </c>
      <c r="G38" s="4">
        <v>100</v>
      </c>
      <c r="H38" s="4">
        <v>1</v>
      </c>
      <c r="I38" s="35"/>
      <c r="J38" s="35"/>
      <c r="K38" s="35"/>
      <c r="L38" s="35"/>
      <c r="M38" s="35"/>
      <c r="N38" s="35"/>
      <c r="O38" s="1"/>
      <c r="P38" s="1"/>
    </row>
    <row r="39" spans="1:16" ht="12" customHeight="1" x14ac:dyDescent="0.45">
      <c r="A39" s="14">
        <v>46171</v>
      </c>
      <c r="B39" s="4">
        <v>2</v>
      </c>
      <c r="C39" s="4">
        <v>63709</v>
      </c>
      <c r="D39" s="4">
        <v>1276</v>
      </c>
      <c r="E39" s="4">
        <v>12</v>
      </c>
      <c r="F39" s="4">
        <v>3</v>
      </c>
      <c r="G39" s="4">
        <v>30</v>
      </c>
      <c r="H39" s="4">
        <v>1</v>
      </c>
      <c r="I39" s="35"/>
      <c r="J39" s="35"/>
      <c r="K39" s="35"/>
      <c r="L39" s="35"/>
      <c r="M39" s="35"/>
      <c r="N39" s="35"/>
      <c r="O39" s="1"/>
      <c r="P39" s="1"/>
    </row>
    <row r="40" spans="1:16" ht="12" customHeight="1" x14ac:dyDescent="0.45">
      <c r="A40" s="14">
        <v>46182</v>
      </c>
      <c r="B40" s="4">
        <v>54</v>
      </c>
      <c r="C40" s="4">
        <v>2046915</v>
      </c>
      <c r="D40" s="4">
        <v>43292</v>
      </c>
      <c r="E40" s="4">
        <v>486</v>
      </c>
      <c r="F40" s="4">
        <v>164</v>
      </c>
      <c r="G40" s="4">
        <v>624</v>
      </c>
      <c r="H40" s="4">
        <v>4</v>
      </c>
      <c r="I40" s="35"/>
      <c r="J40" s="35"/>
      <c r="K40" s="35"/>
      <c r="L40" s="35"/>
      <c r="M40" s="35"/>
      <c r="N40" s="35"/>
      <c r="O40" s="1"/>
      <c r="P40" s="1"/>
    </row>
    <row r="41" spans="1:16" ht="12" customHeight="1" x14ac:dyDescent="0.45">
      <c r="A41" s="14">
        <v>46194</v>
      </c>
      <c r="B41" s="4">
        <v>42</v>
      </c>
      <c r="C41" s="4">
        <v>1578201</v>
      </c>
      <c r="D41" s="4">
        <v>44296</v>
      </c>
      <c r="E41" s="4">
        <v>368</v>
      </c>
      <c r="F41" s="4">
        <v>83</v>
      </c>
      <c r="G41" s="4">
        <v>816</v>
      </c>
      <c r="H41" s="4">
        <v>4</v>
      </c>
      <c r="I41" s="35"/>
      <c r="J41" s="35"/>
      <c r="K41" s="35"/>
      <c r="L41" s="35"/>
      <c r="M41" s="35"/>
      <c r="N41" s="35"/>
      <c r="O41" s="1"/>
      <c r="P41" s="1"/>
    </row>
    <row r="42" spans="1:16" ht="12" customHeight="1" x14ac:dyDescent="0.45">
      <c r="A42" s="14">
        <v>46206</v>
      </c>
      <c r="B42" s="4">
        <v>7</v>
      </c>
      <c r="C42" s="4">
        <v>275418</v>
      </c>
      <c r="D42" s="4">
        <v>6768</v>
      </c>
      <c r="E42" s="4">
        <v>58</v>
      </c>
      <c r="F42" s="4">
        <v>15</v>
      </c>
      <c r="G42" s="4">
        <v>105</v>
      </c>
      <c r="H42" s="4">
        <v>2</v>
      </c>
      <c r="I42" s="35"/>
      <c r="J42" s="35"/>
      <c r="K42" s="35"/>
      <c r="L42" s="35"/>
      <c r="M42" s="35"/>
      <c r="N42" s="35"/>
      <c r="O42" s="1"/>
      <c r="P42" s="1"/>
    </row>
    <row r="43" spans="1:16" ht="12" customHeight="1" x14ac:dyDescent="0.45">
      <c r="A43" s="14">
        <v>46217</v>
      </c>
      <c r="B43" s="4">
        <v>28</v>
      </c>
      <c r="C43" s="4">
        <v>1047604</v>
      </c>
      <c r="D43" s="4">
        <v>23497</v>
      </c>
      <c r="E43" s="4">
        <v>215</v>
      </c>
      <c r="F43" s="4">
        <v>72</v>
      </c>
      <c r="G43" s="4">
        <v>499</v>
      </c>
      <c r="H43" s="4">
        <v>3</v>
      </c>
      <c r="I43" s="35"/>
      <c r="J43" s="35"/>
      <c r="K43" s="35"/>
      <c r="L43" s="35"/>
      <c r="M43" s="35"/>
      <c r="N43" s="35"/>
      <c r="O43" s="1"/>
      <c r="P43" s="1"/>
    </row>
    <row r="44" spans="1:16" ht="12" customHeight="1" x14ac:dyDescent="0.45">
      <c r="A44" s="14">
        <v>46229</v>
      </c>
      <c r="B44" s="4">
        <v>173</v>
      </c>
      <c r="C44" s="4">
        <v>6580935</v>
      </c>
      <c r="D44" s="4">
        <v>152898</v>
      </c>
      <c r="E44" s="4">
        <v>2076</v>
      </c>
      <c r="F44" s="4">
        <v>470</v>
      </c>
      <c r="G44" s="4">
        <v>3614</v>
      </c>
      <c r="H44" s="4">
        <v>8</v>
      </c>
      <c r="I44" s="35"/>
      <c r="J44" s="35"/>
      <c r="K44" s="35"/>
      <c r="L44" s="35"/>
      <c r="M44" s="35"/>
      <c r="N44" s="35"/>
      <c r="O44" s="1"/>
      <c r="P44" s="1"/>
    </row>
    <row r="45" spans="1:16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mergeCells count="3">
    <mergeCell ref="A1:H1"/>
    <mergeCell ref="A2:H2"/>
    <mergeCell ref="I3:N3"/>
  </mergeCells>
  <phoneticPr fontId="1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0"/>
  <sheetViews>
    <sheetView workbookViewId="0">
      <selection sqref="A1:D1"/>
    </sheetView>
  </sheetViews>
  <sheetFormatPr defaultRowHeight="14.25" x14ac:dyDescent="0.45"/>
  <cols>
    <col min="1" max="1" width="25" customWidth="1"/>
    <col min="2" max="2" width="18" customWidth="1"/>
    <col min="3" max="3" width="34" customWidth="1"/>
    <col min="4" max="4" width="54" customWidth="1"/>
  </cols>
  <sheetData>
    <row r="1" spans="1:16" ht="17" customHeight="1" x14ac:dyDescent="0.45">
      <c r="A1" s="26" t="s">
        <v>93</v>
      </c>
      <c r="B1" s="26"/>
      <c r="C1" s="26"/>
      <c r="D1" s="2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1" customHeight="1" x14ac:dyDescent="0.45">
      <c r="A2" s="27" t="s">
        <v>94</v>
      </c>
      <c r="B2" s="27"/>
      <c r="C2" s="27"/>
      <c r="D2" s="2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3.05" customHeight="1" x14ac:dyDescent="0.45">
      <c r="A4" s="2" t="s">
        <v>95</v>
      </c>
      <c r="B4" s="2" t="s">
        <v>96</v>
      </c>
      <c r="C4" s="2" t="s">
        <v>97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2" customHeight="1" x14ac:dyDescent="0.45">
      <c r="A5" s="15" t="s">
        <v>98</v>
      </c>
      <c r="B5" s="3" t="s">
        <v>99</v>
      </c>
      <c r="C5" s="13" t="s">
        <v>100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2" customHeight="1" x14ac:dyDescent="0.45">
      <c r="A6" s="15" t="s">
        <v>101</v>
      </c>
      <c r="B6" s="3" t="s">
        <v>99</v>
      </c>
      <c r="C6" s="13" t="s">
        <v>102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2" customHeight="1" x14ac:dyDescent="0.45">
      <c r="A7" s="15" t="s">
        <v>103</v>
      </c>
      <c r="B7" s="3" t="s">
        <v>104</v>
      </c>
      <c r="C7" s="13" t="s">
        <v>105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2" customHeight="1" x14ac:dyDescent="0.45">
      <c r="A8" s="15" t="s">
        <v>106</v>
      </c>
      <c r="B8" s="3">
        <v>46239.857638888891</v>
      </c>
      <c r="C8" s="13" t="s">
        <v>107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2" customHeight="1" x14ac:dyDescent="0.45">
      <c r="A9" s="15" t="s">
        <v>108</v>
      </c>
      <c r="B9" s="3" t="s">
        <v>109</v>
      </c>
      <c r="C9" s="13" t="s">
        <v>110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" customHeight="1" x14ac:dyDescent="0.45">
      <c r="A10" s="15" t="s">
        <v>111</v>
      </c>
      <c r="B10" s="3">
        <v>45774</v>
      </c>
      <c r="C10" s="13" t="s">
        <v>112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" customHeight="1" x14ac:dyDescent="0.45">
      <c r="A11" s="15" t="s">
        <v>113</v>
      </c>
      <c r="B11" s="3">
        <v>46229</v>
      </c>
      <c r="C11" s="13" t="s">
        <v>114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2" customHeight="1" x14ac:dyDescent="0.45">
      <c r="A12" s="15" t="s">
        <v>9</v>
      </c>
      <c r="B12" s="3">
        <v>157</v>
      </c>
      <c r="C12" s="13" t="s">
        <v>115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2" customHeight="1" x14ac:dyDescent="0.45">
      <c r="A13" s="15" t="s">
        <v>116</v>
      </c>
      <c r="B13" s="3" t="s">
        <v>117</v>
      </c>
      <c r="C13" s="13" t="s">
        <v>118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2" customHeight="1" x14ac:dyDescent="0.45">
      <c r="A14" s="15" t="s">
        <v>119</v>
      </c>
      <c r="B14" s="3" t="s">
        <v>120</v>
      </c>
      <c r="C14" s="13" t="s">
        <v>121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2" customHeight="1" x14ac:dyDescent="0.45">
      <c r="A15" s="15" t="s">
        <v>122</v>
      </c>
      <c r="B15" s="3" t="s">
        <v>123</v>
      </c>
      <c r="C15" s="13" t="s">
        <v>124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" customHeight="1" x14ac:dyDescent="0.45">
      <c r="A17" s="28" t="s">
        <v>125</v>
      </c>
      <c r="B17" s="28"/>
      <c r="C17" s="28"/>
      <c r="D17" s="2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3.05" customHeight="1" x14ac:dyDescent="0.45">
      <c r="A18" s="2" t="s">
        <v>126</v>
      </c>
      <c r="B18" s="2" t="s">
        <v>127</v>
      </c>
      <c r="C18" s="2" t="s">
        <v>128</v>
      </c>
      <c r="D18" s="2" t="s">
        <v>129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2" customHeight="1" x14ac:dyDescent="0.45">
      <c r="A19" s="3" t="s">
        <v>130</v>
      </c>
      <c r="B19" s="3" t="s">
        <v>15</v>
      </c>
      <c r="C19" s="3" t="s">
        <v>131</v>
      </c>
      <c r="D19" s="13" t="s">
        <v>132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2" customHeight="1" x14ac:dyDescent="0.45">
      <c r="A20" s="3" t="s">
        <v>133</v>
      </c>
      <c r="B20" s="3" t="s">
        <v>134</v>
      </c>
      <c r="C20" s="3" t="s">
        <v>135</v>
      </c>
      <c r="D20" s="13" t="s">
        <v>132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2" customHeight="1" x14ac:dyDescent="0.45">
      <c r="A21" s="3" t="s">
        <v>136</v>
      </c>
      <c r="B21" s="3" t="s">
        <v>8</v>
      </c>
      <c r="C21" s="3" t="s">
        <v>137</v>
      </c>
      <c r="D21" s="13" t="s">
        <v>132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2" customHeight="1" x14ac:dyDescent="0.45">
      <c r="A22" s="3" t="s">
        <v>138</v>
      </c>
      <c r="B22" s="3" t="s">
        <v>139</v>
      </c>
      <c r="C22" s="3" t="s">
        <v>140</v>
      </c>
      <c r="D22" s="13" t="s">
        <v>141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2" customHeight="1" x14ac:dyDescent="0.45">
      <c r="A23" s="3" t="s">
        <v>142</v>
      </c>
      <c r="B23" s="3" t="s">
        <v>143</v>
      </c>
      <c r="C23" s="3" t="s">
        <v>144</v>
      </c>
      <c r="D23" s="13" t="s">
        <v>145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mergeCells count="3">
    <mergeCell ref="A1:D1"/>
    <mergeCell ref="A2:D2"/>
    <mergeCell ref="A17:D17"/>
  </mergeCells>
  <phoneticPr fontId="14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Models</vt:lpstr>
      <vt:lpstr>Repos</vt:lpstr>
      <vt:lpstr>Workspaces</vt:lpstr>
      <vt:lpstr>DailyData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liyanagama@outlook.de</dc:creator>
  <cp:lastModifiedBy>Sachith Harshitha Liyanagama</cp:lastModifiedBy>
  <dcterms:modified xsi:type="dcterms:W3CDTF">2026-08-06T20:28:36Z</dcterms:modified>
</cp:coreProperties>
</file>